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willi\Desktop\GITHUB\OPTIMIZACION_LINEAL\CORTE I\Adicionales\"/>
    </mc:Choice>
  </mc:AlternateContent>
  <xr:revisionPtr revIDLastSave="0" documentId="13_ncr:1_{D16A7768-4754-4540-B6AE-3D0A1AFC0A80}" xr6:coauthVersionLast="47" xr6:coauthVersionMax="47" xr10:uidLastSave="{00000000-0000-0000-0000-000000000000}"/>
  <bookViews>
    <workbookView xWindow="-108" yWindow="-108" windowWidth="23256" windowHeight="13176" activeTab="1" xr2:uid="{00000000-000D-0000-FFFF-FFFF00000000}"/>
  </bookViews>
  <sheets>
    <sheet name="T7P1" sheetId="2" r:id="rId1"/>
    <sheet name="T7P2" sheetId="1" r:id="rId2"/>
    <sheet name="T7P3" sheetId="3" r:id="rId3"/>
    <sheet name="T7P4" sheetId="4" r:id="rId4"/>
    <sheet name="T7P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4" i="1" l="1" a="1"/>
  <c r="D114" i="1" s="1"/>
  <c r="D79" i="1" a="1"/>
  <c r="D79" i="1" s="1"/>
  <c r="E55" i="1"/>
  <c r="F55" i="1"/>
  <c r="D44" i="1" a="1"/>
  <c r="D44" i="1" s="1"/>
  <c r="J114" i="1" l="1" a="1"/>
  <c r="J114" i="1" s="1"/>
  <c r="D119" i="1" a="1"/>
  <c r="D119" i="1" s="1"/>
  <c r="D124" i="1" s="1" a="1"/>
  <c r="J79" i="1" a="1"/>
  <c r="J79" i="1" s="1"/>
  <c r="D93" i="1" s="1" a="1"/>
  <c r="D93" i="1" s="1"/>
  <c r="D84" i="1" a="1"/>
  <c r="D84" i="1" s="1"/>
  <c r="D89" i="1" s="1" a="1"/>
  <c r="D49" i="1" a="1"/>
  <c r="D49" i="1" s="1"/>
  <c r="D54" i="1" s="1" a="1"/>
  <c r="D54" i="1" s="1"/>
  <c r="D55" i="1" s="1"/>
  <c r="J44" i="1" a="1"/>
  <c r="J44" i="1" s="1"/>
  <c r="D58" i="1" s="1" a="1"/>
  <c r="D58" i="1" s="1"/>
  <c r="D124" i="1" l="1"/>
  <c r="D125" i="1" s="1"/>
  <c r="E125" i="1"/>
  <c r="F125" i="1"/>
  <c r="D128" i="1" a="1"/>
  <c r="D128" i="1" s="1"/>
  <c r="D89" i="1"/>
  <c r="D90" i="1" s="1"/>
  <c r="E90" i="1"/>
  <c r="F9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<sst xmlns="http://schemas.openxmlformats.org/spreadsheetml/2006/main" count="185" uniqueCount="114">
  <si>
    <t>EJERCICIO 2. BIOMBOS</t>
  </si>
  <si>
    <t>MOBILIARIO SAS tiene 60 láminas de madera y 280 horas de trabajo disponibles para fabricar biombos decorativos. La empresa fabrica tres tipos de biombos. El modelo B1 requiere 2 láminas de madera y 7 horas de trabajo. El modelo B2 necesita 1 lámina de madera y 8 horas de trabajo. El modelo B3 requiere 2 láminas de madera y 9 horas de trabajo. El modelo B1 se vende a $120, el modelo 2 se vende a $80 y el modelo 3 se vende a $110. Determinar la producción de biombos para maximizar las ventas.</t>
  </si>
  <si>
    <t>Primal</t>
  </si>
  <si>
    <t>x1</t>
  </si>
  <si>
    <t>x2</t>
  </si>
  <si>
    <t>s1</t>
  </si>
  <si>
    <t>s2</t>
  </si>
  <si>
    <t>X</t>
  </si>
  <si>
    <t>A</t>
  </si>
  <si>
    <t>b</t>
  </si>
  <si>
    <t>C</t>
  </si>
  <si>
    <t>C_B</t>
  </si>
  <si>
    <t>C_N</t>
  </si>
  <si>
    <t>X1 : Cantidad de B1</t>
  </si>
  <si>
    <t>X2 : Cantidad de B2</t>
  </si>
  <si>
    <t>X3 : Cantidad de B3</t>
  </si>
  <si>
    <t>60 laminas de madera</t>
  </si>
  <si>
    <t>280 horas de trabajo</t>
  </si>
  <si>
    <t>2X1 + X2 + 2X3 &lt;= 60</t>
  </si>
  <si>
    <t>7X1 + 8X2 + 9X3 &lt;= 280</t>
  </si>
  <si>
    <t>X1,X2,X3 &gt;=0</t>
  </si>
  <si>
    <r>
      <t xml:space="preserve">Z_max= 120 </t>
    </r>
    <r>
      <rPr>
        <i/>
        <sz val="11"/>
        <color theme="1"/>
        <rFont val="Calibri"/>
        <family val="2"/>
        <scheme val="minor"/>
      </rPr>
      <t>X1</t>
    </r>
    <r>
      <rPr>
        <sz val="11"/>
        <color theme="1"/>
        <rFont val="Calibri"/>
        <family val="2"/>
        <scheme val="minor"/>
      </rPr>
      <t xml:space="preserve"> + 80 </t>
    </r>
    <r>
      <rPr>
        <i/>
        <sz val="11"/>
        <color theme="1"/>
        <rFont val="Calibri"/>
        <family val="2"/>
        <scheme val="minor"/>
      </rPr>
      <t>X2</t>
    </r>
    <r>
      <rPr>
        <sz val="11"/>
        <color theme="1"/>
        <rFont val="Calibri"/>
        <family val="2"/>
        <scheme val="minor"/>
      </rPr>
      <t xml:space="preserve"> + 110 X3</t>
    </r>
  </si>
  <si>
    <t>2X1 + X2 + 2X3 + S1 = 60</t>
  </si>
  <si>
    <t>7X1 + 8X2 + 9X3 + S2= 280</t>
  </si>
  <si>
    <r>
      <t xml:space="preserve">Z_max= 120 </t>
    </r>
    <r>
      <rPr>
        <i/>
        <sz val="11"/>
        <color theme="1"/>
        <rFont val="Calibri"/>
        <family val="2"/>
        <scheme val="minor"/>
      </rPr>
      <t>X1</t>
    </r>
    <r>
      <rPr>
        <sz val="11"/>
        <color theme="1"/>
        <rFont val="Calibri"/>
        <family val="2"/>
        <scheme val="minor"/>
      </rPr>
      <t xml:space="preserve"> + 80 </t>
    </r>
    <r>
      <rPr>
        <i/>
        <sz val="11"/>
        <color theme="1"/>
        <rFont val="Calibri"/>
        <family val="2"/>
        <scheme val="minor"/>
      </rPr>
      <t>X2</t>
    </r>
    <r>
      <rPr>
        <sz val="11"/>
        <color theme="1"/>
        <rFont val="Calibri"/>
        <family val="2"/>
        <scheme val="minor"/>
      </rPr>
      <t xml:space="preserve"> + 110 X3 + 0S1 + 0S2</t>
    </r>
  </si>
  <si>
    <t>x3</t>
  </si>
  <si>
    <t>iteracion 1</t>
  </si>
  <si>
    <t>B</t>
  </si>
  <si>
    <t>N</t>
  </si>
  <si>
    <t>B-1</t>
  </si>
  <si>
    <t>X_B</t>
  </si>
  <si>
    <t>Y</t>
  </si>
  <si>
    <t>C_B * Y</t>
  </si>
  <si>
    <t>r</t>
  </si>
  <si>
    <t>cocientes</t>
  </si>
  <si>
    <t>sale S1 de la base</t>
  </si>
  <si>
    <t>entra X1 a la base</t>
  </si>
  <si>
    <t>iteracion 2</t>
  </si>
  <si>
    <t>entra X2 a la base</t>
  </si>
  <si>
    <t>sale S2 de la base</t>
  </si>
  <si>
    <t>iteracion 3</t>
  </si>
  <si>
    <t>EJERCICIO 1. COMIDA PERIQUITOS</t>
  </si>
  <si>
    <t>EJERCICIO 3. ALEACIONES</t>
  </si>
  <si>
    <t>EJERCICIO 4. ADmovies</t>
  </si>
  <si>
    <t>EJERCICIO 5. PINTURAS</t>
  </si>
  <si>
    <t>Una empresa de pinturas desea determinar cuántos galones producir de pintura tipo I y pintura tipo II. Para la elaboración de las pinturas realizan cinco procesos que son dispersión de pigmentos, mezclado, molido de pigmentos, control de finura y envasado. Cada uno de estos procesos tiene un máximo de tiempo disponible [h], y cada galón de tipo de pintura tiene un tiempo de procesamiento [h/galón] en cada uno de los procesos. Se sabe la utilidad [$/galón] de cada tipo de pintura. A continuación, se presenta el modelo matemático DUAL del problema.</t>
  </si>
  <si>
    <t>𝑀𝑖𝑛 𝑍=40𝑦1+150𝑦2+30𝑦3+80𝑦4+80𝑦5</t>
  </si>
  <si>
    <t>𝑠.𝑎.</t>
  </si>
  <si>
    <t>𝑦1+2𝑦2+𝑦3+4𝑦4≥20</t>
  </si>
  <si>
    <t>𝑦1+3𝑦3+𝑦4+𝑦5≥15</t>
  </si>
  <si>
    <t>𝑦1,𝑦2,𝑦3,𝑦4,𝑦5≥0</t>
  </si>
  <si>
    <t>1. Resuelva usando Solver.</t>
  </si>
  <si>
    <t>2. Indique el valor para el problema PRIMAL de:</t>
  </si>
  <si>
    <t>¿Cuánto vale la utilidad total?</t>
  </si>
  <si>
    <t>¿Cuánta pintura se debe producir de cada tipo para maximizar las utilidades?</t>
  </si>
  <si>
    <t>¿Cuánto es lo máximo que estaría dispuesto a pagar por una hora de disponibilidad adicional de cada proceso?</t>
  </si>
  <si>
    <t>¿Cuánto valen los costos reducidos de las variables de decisión y qué significan esos valores para este problema?</t>
  </si>
  <si>
    <t>La productora de cine ADmovies está por estrenar su más reciente película “Sin simplex no hay paraíso” en Colombia, Ecuador, Venezuela, Perú, México y Argentina. Para esto debe decidir cuantos días estará en cartelera la película en cada uno de los países.</t>
  </si>
  <si>
    <t>País</t>
  </si>
  <si>
    <t>Ganancias esperadas ($/día)</t>
  </si>
  <si>
    <t>Límite máximo de días en cartelera (días)</t>
  </si>
  <si>
    <t>Colombia</t>
  </si>
  <si>
    <t>Ecuador</t>
  </si>
  <si>
    <t>Venezuela</t>
  </si>
  <si>
    <t>Perú</t>
  </si>
  <si>
    <t>México</t>
  </si>
  <si>
    <t>Argentina</t>
  </si>
  <si>
    <t>Por tratarse de un público más exigente, las películas en argentina siempre duran en cartelera al menos el doble de días que el promedio de días en cartelera de los demás países. Por ejemplo, si en los demás países las películas duran en promedio 7 días en cartelera, en argentina deben durar 14 días o más.</t>
  </si>
  <si>
    <t>1. Formule el modelo de programación lineal. Solucione el modelo con ayuda de Solver.</t>
  </si>
  <si>
    <t>2. Para las siguientes preguntas, responda solo si es posible determinar el cambio sin volver a correr ninguno de los modelos.</t>
  </si>
  <si>
    <t>¿Cuántos días se proyectará la película en cada país y cuanto será la ganancia total recibida?</t>
  </si>
  <si>
    <t>¿Cuántos días se deja de proyectar la película respecto al máximo permitido por cada país?</t>
  </si>
  <si>
    <t>¿Cuánto estaría dispuesto a pagar la empresa por un día más de proyección en cada país?</t>
  </si>
  <si>
    <t>Un nuevo estudio de mercado indica que la ganancia esperada en Colombia y en Ecuador seria de 250 y 200 respectivamente. Analice este cambio de manera independiente uno del otro, ¿En cuánto variarían las ganancias en cada escenario?</t>
  </si>
  <si>
    <t>Si en Perú se pudiera proyectar la película dos días más, ¿Cuál sería el impacto en las ganancias de la empresa?</t>
  </si>
  <si>
    <t>Se fabrican dos aleaciones A y B con cuatro metales (I, II, III y IV) de acuerdo con las siguientes especificaciones:</t>
  </si>
  <si>
    <t>Aleación</t>
  </si>
  <si>
    <t>Especificaciones de la composición de la aleación</t>
  </si>
  <si>
    <t>Precio de venta ($/tonelada)</t>
  </si>
  <si>
    <t>Máximo 80% de I</t>
  </si>
  <si>
    <t>Máximo 30% de II</t>
  </si>
  <si>
    <t>Entre 20% y 30% de III</t>
  </si>
  <si>
    <t>Mínimo 50% de IV</t>
  </si>
  <si>
    <t>Mínimo 10% de I</t>
  </si>
  <si>
    <t>Entre 40% y 60% de II</t>
  </si>
  <si>
    <t>Mínimo 30% de III</t>
  </si>
  <si>
    <t>Máximo 70% de IV</t>
  </si>
  <si>
    <t>La demanda mínima de aleación A es 500 toneladas y de B 200 toneladas. La disponibilidad y costo por tonelada de cada metal es la siguiente:</t>
  </si>
  <si>
    <t>Metales</t>
  </si>
  <si>
    <t>I</t>
  </si>
  <si>
    <t>II</t>
  </si>
  <si>
    <t>III</t>
  </si>
  <si>
    <t>IV</t>
  </si>
  <si>
    <t>Disponibilidad (toneladas)</t>
  </si>
  <si>
    <t>Precio compra ($/tonelada)</t>
  </si>
  <si>
    <t>Plantear un modelo matemático para maximizar las utilidades.</t>
  </si>
  <si>
    <t>a. Plantear el modelo matemático</t>
  </si>
  <si>
    <t>b. Resolver el modelo matemático por Solver y pegar a continuación los resultados del informe de sensibilidad de solver</t>
  </si>
  <si>
    <t>Responder las siguientes preguntas con base en el análisis de sensibilidad del solver.</t>
  </si>
  <si>
    <t>¿Cuál es la utilidad total (coloque las unidades)?</t>
  </si>
  <si>
    <t>¿Cuánto se debe producir de cada aleación (coloque las unidades)?</t>
  </si>
  <si>
    <t>¿Cuánto se utiliza de cada metal para cada aleación?</t>
  </si>
  <si>
    <t>¿Cuánto sobra de cada metal? (coloque las unidades)</t>
  </si>
  <si>
    <t>¿Qué pasaría si se utilizara una tonelada de metal II para producir aleación A?</t>
  </si>
  <si>
    <t>Un proveedor le ofrece 200 toneladas de metal 3 por $200000. ¿Valdría la pena comprar esas 200 toneladas por ese precio? Justifique su respuesta</t>
  </si>
  <si>
    <t>Pedro tiene un presupuesto limitado para comprar la comida para alimentar a sus periquitos australianos. En el mercado existen dos comidas diferentes que Pedro puede comprar: alpiste y nabo. El alpiste lo encuentra a US$7 por libra, y cada libra contiene 3 unidades de vitamina A y 1 unidad de vitamina C. El nabo se consigue a US$1 por libra y cada libra contiene 1 unidad de vitamina A y 1 unidad de vitamina C. Cada día los periquitos de Pedro necesitan al menos 12 unidades de vitamina A y 6 unidades de vitamina C.</t>
  </si>
  <si>
    <t>b. Realice el método gráfico para obtener la solución óptima de este problema (puede hacer el gráfico en geogebra y pegarlo, mostrando claramente la región factible y la recta de Z tocando el punto óptimo)</t>
  </si>
  <si>
    <t>c. ¿Cuántas libras de cada comida debe comprar Pedro para sus periquitos en un día?</t>
  </si>
  <si>
    <t>d. ¿Cuánto le cuesta la comida del día?</t>
  </si>
  <si>
    <t>a. Plantee el modelo matemático</t>
  </si>
  <si>
    <t>b. Plantee el modelo matemático DUAL de este problema</t>
  </si>
  <si>
    <t>c. Solucione por el método gráfico el MODELO DUAL del problema indicando cuánto vale la función objetivo y los respectivos cálculos (dibuje la región factible, la recta de Z e indique el punto óptimo del dual en la gráfica).</t>
  </si>
  <si>
    <t>d. Resuelva el modelo dual por el método simplex (pegue aquí las imágenes de todas las iteraciones)</t>
  </si>
  <si>
    <t>e. De acuerdo con la iteración óptima del modelo dual haga una tabla mostrando los valores de las variables de decisión básicas y no básicas, así como los costos reducidos. Adicionalmente, indique dentro de la misma tabla esos valores a qué elemento de la solución del problema primal corresponden. De esta tabla responda explícitamente la cantidad de biombos de cada tipo a producir (incluyendo decimales) y cuánto sobra de láminas de madera y horas de trabajo.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</si>
</sst>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i/>
      <sz val="11"/>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theme="6"/>
        <bgColor indexed="64"/>
      </patternFill>
    </fill>
    <fill>
      <patternFill patternType="solid">
        <fgColor theme="4"/>
        <bgColor indexed="64"/>
      </patternFill>
    </fill>
  </fills>
  <borders count="7">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bottom style="medium">
        <color indexed="64"/>
      </bottom>
      <diagonal/>
    </border>
    <border>
      <left/>
      <right/>
      <top/>
      <bottom style="medium">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1" fillId="0" borderId="0" xfId="0" applyFont="1"/>
    <xf numFmtId="0" fontId="0" fillId="0" borderId="0" xfId="0" applyAlignment="1">
      <alignment wrapText="1"/>
    </xf>
    <xf numFmtId="0" fontId="0" fillId="0" borderId="1" xfId="0" applyBorder="1" applyAlignment="1">
      <alignment horizontal="center"/>
    </xf>
    <xf numFmtId="0" fontId="0" fillId="0" borderId="0" xfId="0" applyAlignment="1">
      <alignment horizontal="center"/>
    </xf>
    <xf numFmtId="0" fontId="3" fillId="0" borderId="1" xfId="0" applyFont="1" applyBorder="1" applyAlignment="1">
      <alignment horizontal="center"/>
    </xf>
    <xf numFmtId="0" fontId="1" fillId="0" borderId="2" xfId="0" applyFont="1" applyBorder="1" applyAlignment="1">
      <alignment horizontal="center"/>
    </xf>
    <xf numFmtId="0" fontId="1" fillId="0" borderId="0" xfId="0" applyFont="1" applyAlignment="1">
      <alignment horizontal="center"/>
    </xf>
    <xf numFmtId="0" fontId="0" fillId="0" borderId="2" xfId="0"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xf>
    <xf numFmtId="0" fontId="0" fillId="0" borderId="1" xfId="0" applyBorder="1" applyAlignment="1">
      <alignment horizontal="center" vertical="center"/>
    </xf>
    <xf numFmtId="0" fontId="0" fillId="0" borderId="1" xfId="0" applyBorder="1"/>
    <xf numFmtId="0" fontId="0" fillId="0" borderId="1" xfId="0" quotePrefix="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2" borderId="2" xfId="0" applyFill="1" applyBorder="1" applyAlignment="1">
      <alignment horizontal="center"/>
    </xf>
    <xf numFmtId="0" fontId="0" fillId="3" borderId="2" xfId="0" applyFill="1" applyBorder="1" applyAlignment="1">
      <alignment horizontal="center"/>
    </xf>
    <xf numFmtId="0" fontId="0" fillId="2" borderId="2" xfId="0" applyFill="1" applyBorder="1" applyAlignment="1">
      <alignment horizontal="center" vertical="center"/>
    </xf>
    <xf numFmtId="0" fontId="2" fillId="0" borderId="0" xfId="0" applyFont="1" applyAlignment="1">
      <alignment horizontal="center"/>
    </xf>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1" fillId="0" borderId="2" xfId="0" applyFont="1" applyBorder="1" applyAlignment="1">
      <alignment horizontal="center" wrapText="1"/>
    </xf>
    <xf numFmtId="0" fontId="1" fillId="0" borderId="2" xfId="0" applyFont="1" applyBorder="1" applyAlignment="1">
      <alignment horizontal="center" vertical="center"/>
    </xf>
    <xf numFmtId="0" fontId="0" fillId="0" borderId="2" xfId="0" applyBorder="1" applyAlignment="1">
      <alignment horizontal="center" vertical="center"/>
    </xf>
    <xf numFmtId="0" fontId="1" fillId="0" borderId="2" xfId="0" applyFont="1" applyBorder="1" applyAlignment="1">
      <alignment horizontal="center"/>
    </xf>
    <xf numFmtId="0" fontId="0" fillId="0" borderId="5" xfId="0" applyBorder="1" applyAlignment="1">
      <alignment horizontal="center"/>
    </xf>
    <xf numFmtId="0" fontId="0" fillId="0" borderId="6"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A8851-0079-4466-A171-E02445B63DA8}">
  <dimension ref="A1:A10"/>
  <sheetViews>
    <sheetView workbookViewId="0">
      <selection activeCell="C6" sqref="C6"/>
    </sheetView>
  </sheetViews>
  <sheetFormatPr defaultRowHeight="14.4" x14ac:dyDescent="0.3"/>
  <cols>
    <col min="1" max="1" width="51.21875" customWidth="1"/>
  </cols>
  <sheetData>
    <row r="1" spans="1:1" x14ac:dyDescent="0.3">
      <c r="A1" s="1" t="s">
        <v>41</v>
      </c>
    </row>
    <row r="2" spans="1:1" ht="129.6" x14ac:dyDescent="0.3">
      <c r="A2" s="2" t="s">
        <v>105</v>
      </c>
    </row>
    <row r="4" spans="1:1" x14ac:dyDescent="0.3">
      <c r="A4" t="s">
        <v>96</v>
      </c>
    </row>
    <row r="6" spans="1:1" ht="57.6" x14ac:dyDescent="0.3">
      <c r="A6" s="2" t="s">
        <v>106</v>
      </c>
    </row>
    <row r="8" spans="1:1" ht="28.8" x14ac:dyDescent="0.3">
      <c r="A8" s="2" t="s">
        <v>107</v>
      </c>
    </row>
    <row r="10" spans="1:1" x14ac:dyDescent="0.3">
      <c r="A10" s="2" t="s">
        <v>108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37"/>
  <sheetViews>
    <sheetView tabSelected="1" topLeftCell="A75" zoomScale="55" zoomScaleNormal="55" workbookViewId="0">
      <selection activeCell="C137" sqref="C137"/>
    </sheetView>
  </sheetViews>
  <sheetFormatPr defaultRowHeight="14.4" x14ac:dyDescent="0.3"/>
  <cols>
    <col min="1" max="1" width="49" customWidth="1"/>
    <col min="2" max="2" width="48.5546875" bestFit="1" customWidth="1"/>
  </cols>
  <sheetData>
    <row r="1" spans="1:16" x14ac:dyDescent="0.3">
      <c r="A1" s="1" t="s">
        <v>0</v>
      </c>
    </row>
    <row r="2" spans="1:16" ht="144" x14ac:dyDescent="0.3">
      <c r="A2" s="2" t="s">
        <v>1</v>
      </c>
    </row>
    <row r="3" spans="1:16" x14ac:dyDescent="0.3">
      <c r="B3" s="3"/>
      <c r="C3" s="4"/>
      <c r="D3" s="4"/>
      <c r="E3" s="19" t="s">
        <v>2</v>
      </c>
      <c r="F3" s="19"/>
      <c r="G3" s="19"/>
      <c r="H3" s="19"/>
      <c r="I3" s="19"/>
      <c r="J3" s="19"/>
      <c r="K3" s="19"/>
      <c r="L3" s="19"/>
      <c r="M3" s="19"/>
      <c r="N3" s="4"/>
      <c r="O3" s="4"/>
    </row>
    <row r="4" spans="1:16" x14ac:dyDescent="0.3">
      <c r="B4" s="5" t="s">
        <v>13</v>
      </c>
      <c r="C4" s="4"/>
      <c r="D4" s="4"/>
      <c r="E4" s="4"/>
      <c r="F4" s="4"/>
      <c r="G4" s="4"/>
      <c r="H4" s="4"/>
      <c r="I4" s="4"/>
      <c r="J4" s="4"/>
      <c r="K4" s="4"/>
      <c r="L4" s="4"/>
      <c r="M4" s="4"/>
      <c r="N4" s="4"/>
      <c r="O4" s="4"/>
    </row>
    <row r="5" spans="1:16" x14ac:dyDescent="0.3">
      <c r="B5" s="5" t="s">
        <v>14</v>
      </c>
      <c r="C5" s="4"/>
      <c r="D5" s="4"/>
      <c r="E5" s="4"/>
      <c r="F5" s="4"/>
      <c r="G5" s="6" t="s">
        <v>3</v>
      </c>
      <c r="H5" s="6" t="s">
        <v>4</v>
      </c>
      <c r="I5" s="6" t="s">
        <v>25</v>
      </c>
      <c r="J5" s="6" t="s">
        <v>5</v>
      </c>
      <c r="K5" s="6" t="s">
        <v>6</v>
      </c>
      <c r="L5" s="7"/>
      <c r="M5" s="7"/>
      <c r="O5" s="4"/>
    </row>
    <row r="6" spans="1:16" x14ac:dyDescent="0.3">
      <c r="B6" s="5" t="s">
        <v>15</v>
      </c>
      <c r="C6" s="7" t="s">
        <v>7</v>
      </c>
      <c r="D6" s="6" t="s">
        <v>3</v>
      </c>
      <c r="E6" s="4"/>
      <c r="F6" s="7" t="s">
        <v>8</v>
      </c>
      <c r="G6" s="8">
        <v>2</v>
      </c>
      <c r="H6" s="8">
        <v>1</v>
      </c>
      <c r="I6" s="8">
        <v>2</v>
      </c>
      <c r="J6" s="8">
        <v>1</v>
      </c>
      <c r="K6" s="8">
        <v>0</v>
      </c>
      <c r="L6" s="9"/>
      <c r="M6" s="7" t="s">
        <v>9</v>
      </c>
      <c r="N6" s="10">
        <v>60</v>
      </c>
    </row>
    <row r="7" spans="1:16" x14ac:dyDescent="0.3">
      <c r="B7" s="3"/>
      <c r="C7" s="4"/>
      <c r="D7" s="6" t="s">
        <v>4</v>
      </c>
      <c r="E7" s="4"/>
      <c r="F7" s="4"/>
      <c r="G7" s="8">
        <v>7</v>
      </c>
      <c r="H7" s="8">
        <v>8</v>
      </c>
      <c r="I7" s="8">
        <v>9</v>
      </c>
      <c r="J7" s="8">
        <v>0</v>
      </c>
      <c r="K7" s="8">
        <v>1</v>
      </c>
      <c r="L7" s="9"/>
      <c r="M7" s="4"/>
      <c r="N7" s="8">
        <v>280</v>
      </c>
    </row>
    <row r="8" spans="1:16" x14ac:dyDescent="0.3">
      <c r="B8" s="3" t="s">
        <v>16</v>
      </c>
      <c r="C8" s="4"/>
      <c r="D8" s="6" t="s">
        <v>25</v>
      </c>
      <c r="E8" s="7"/>
      <c r="F8" s="4"/>
      <c r="G8" s="4"/>
      <c r="H8" s="4"/>
      <c r="I8" s="4"/>
      <c r="J8" s="4"/>
      <c r="K8" s="4"/>
      <c r="L8" s="4"/>
      <c r="M8" s="4"/>
      <c r="N8" s="4"/>
    </row>
    <row r="9" spans="1:16" x14ac:dyDescent="0.3">
      <c r="B9" s="3" t="s">
        <v>17</v>
      </c>
      <c r="C9" s="4"/>
      <c r="D9" s="6" t="s">
        <v>5</v>
      </c>
      <c r="E9" s="4"/>
      <c r="G9" s="4"/>
      <c r="H9" s="4"/>
      <c r="I9" s="4"/>
      <c r="J9" s="4"/>
      <c r="K9" s="4"/>
      <c r="L9" s="4"/>
      <c r="M9" s="4"/>
      <c r="O9" s="4"/>
      <c r="P9" s="4"/>
    </row>
    <row r="10" spans="1:16" x14ac:dyDescent="0.3">
      <c r="B10" s="3"/>
      <c r="C10" s="4"/>
      <c r="D10" s="6" t="s">
        <v>6</v>
      </c>
      <c r="E10" s="4"/>
      <c r="L10" s="4"/>
      <c r="N10" s="4"/>
      <c r="O10" s="4"/>
    </row>
    <row r="11" spans="1:16" x14ac:dyDescent="0.3">
      <c r="B11" s="3"/>
      <c r="C11" s="4"/>
      <c r="D11" s="7"/>
      <c r="E11" s="4"/>
      <c r="F11" s="7" t="s">
        <v>10</v>
      </c>
      <c r="G11" s="10">
        <v>120</v>
      </c>
      <c r="H11" s="10">
        <v>80</v>
      </c>
      <c r="I11" s="10">
        <v>110</v>
      </c>
      <c r="J11" s="10">
        <v>0</v>
      </c>
      <c r="K11" s="10">
        <v>0</v>
      </c>
      <c r="L11" s="4"/>
      <c r="M11" s="4"/>
      <c r="N11" s="4"/>
      <c r="O11" s="4"/>
    </row>
    <row r="12" spans="1:16" x14ac:dyDescent="0.3">
      <c r="B12" s="11" t="s">
        <v>18</v>
      </c>
      <c r="C12" s="4"/>
      <c r="D12" s="7"/>
      <c r="E12" s="4"/>
      <c r="F12" s="7" t="s">
        <v>11</v>
      </c>
      <c r="G12" s="10">
        <v>0</v>
      </c>
      <c r="H12" s="10">
        <v>0</v>
      </c>
      <c r="I12" s="4"/>
      <c r="J12" s="4"/>
      <c r="K12" s="4"/>
      <c r="M12" s="4"/>
      <c r="N12" s="4"/>
      <c r="O12" s="4"/>
    </row>
    <row r="13" spans="1:16" x14ac:dyDescent="0.3">
      <c r="B13" s="3" t="s">
        <v>19</v>
      </c>
      <c r="F13" s="7" t="s">
        <v>12</v>
      </c>
      <c r="G13" s="10">
        <v>120</v>
      </c>
      <c r="H13" s="10">
        <v>80</v>
      </c>
      <c r="I13" s="10">
        <v>110</v>
      </c>
      <c r="J13" s="4"/>
      <c r="K13" s="4"/>
    </row>
    <row r="14" spans="1:16" x14ac:dyDescent="0.3">
      <c r="B14" s="3" t="s">
        <v>20</v>
      </c>
    </row>
    <row r="15" spans="1:16" x14ac:dyDescent="0.3">
      <c r="B15" s="12"/>
    </row>
    <row r="16" spans="1:16" x14ac:dyDescent="0.3">
      <c r="B16" s="3" t="s">
        <v>21</v>
      </c>
    </row>
    <row r="17" spans="2:15" x14ac:dyDescent="0.3">
      <c r="B17" s="13"/>
      <c r="C17" s="4"/>
      <c r="D17" s="4"/>
      <c r="E17" s="4"/>
      <c r="F17" s="4"/>
      <c r="G17" s="4"/>
      <c r="H17" s="4"/>
      <c r="I17" s="4"/>
      <c r="J17" s="4"/>
      <c r="K17" s="4"/>
      <c r="L17" s="4"/>
      <c r="M17" s="4"/>
    </row>
    <row r="18" spans="2:15" x14ac:dyDescent="0.3">
      <c r="C18" s="4"/>
      <c r="D18" s="4"/>
      <c r="E18" s="4"/>
      <c r="F18" s="4"/>
      <c r="G18" s="4"/>
      <c r="H18" s="4"/>
      <c r="I18" s="4"/>
      <c r="J18" s="4"/>
      <c r="K18" s="4"/>
      <c r="L18" s="4"/>
      <c r="M18" s="4"/>
    </row>
    <row r="19" spans="2:15" x14ac:dyDescent="0.3">
      <c r="B19" s="11" t="s">
        <v>22</v>
      </c>
      <c r="C19" s="4"/>
      <c r="D19" s="4"/>
      <c r="E19" s="4"/>
      <c r="F19" s="4"/>
      <c r="G19" s="4"/>
      <c r="H19" s="4"/>
      <c r="I19" s="4"/>
      <c r="J19" s="4"/>
      <c r="K19" s="4"/>
      <c r="L19" s="4"/>
      <c r="M19" s="4"/>
    </row>
    <row r="20" spans="2:15" x14ac:dyDescent="0.3">
      <c r="B20" s="3" t="s">
        <v>23</v>
      </c>
      <c r="C20" s="4"/>
      <c r="D20" s="4"/>
      <c r="E20" s="4"/>
      <c r="F20" s="4"/>
      <c r="G20" s="4"/>
      <c r="H20" s="4"/>
      <c r="I20" s="4"/>
      <c r="J20" s="4"/>
      <c r="K20" s="4"/>
      <c r="L20" s="4"/>
      <c r="M20" s="4"/>
    </row>
    <row r="21" spans="2:15" x14ac:dyDescent="0.3">
      <c r="B21" s="3"/>
      <c r="C21" s="4"/>
      <c r="D21" s="4"/>
      <c r="E21" s="4"/>
      <c r="F21" s="4"/>
      <c r="G21" s="4"/>
      <c r="H21" s="4"/>
      <c r="I21" s="4"/>
      <c r="J21" s="4"/>
      <c r="K21" s="4"/>
      <c r="L21" s="4"/>
      <c r="M21" s="4"/>
      <c r="N21" s="4"/>
    </row>
    <row r="22" spans="2:15" x14ac:dyDescent="0.3">
      <c r="B22" s="3" t="s">
        <v>24</v>
      </c>
      <c r="C22" s="4"/>
      <c r="D22" s="4"/>
      <c r="E22" s="4"/>
      <c r="F22" s="4"/>
      <c r="G22" s="4"/>
      <c r="H22" s="4"/>
      <c r="I22" s="4"/>
      <c r="J22" s="4"/>
      <c r="K22" s="4"/>
      <c r="L22" s="4"/>
      <c r="M22" s="4"/>
      <c r="N22" s="4"/>
      <c r="O22" s="4"/>
    </row>
    <row r="23" spans="2:15" x14ac:dyDescent="0.3">
      <c r="B23" s="3"/>
      <c r="O23" s="4"/>
    </row>
    <row r="24" spans="2:15" x14ac:dyDescent="0.3">
      <c r="O24" s="4"/>
    </row>
    <row r="25" spans="2:15" x14ac:dyDescent="0.3">
      <c r="B25" s="3"/>
      <c r="O25" s="4"/>
    </row>
    <row r="26" spans="2:15" ht="15" thickBot="1" x14ac:dyDescent="0.35">
      <c r="B26" s="14"/>
      <c r="C26" s="15"/>
      <c r="D26" s="15"/>
      <c r="E26" s="15"/>
      <c r="F26" s="15"/>
      <c r="G26" s="15"/>
      <c r="H26" s="15"/>
      <c r="I26" s="15"/>
      <c r="J26" s="15"/>
      <c r="K26" s="15"/>
      <c r="L26" s="15"/>
      <c r="M26" s="15"/>
      <c r="N26" s="15"/>
      <c r="O26" s="4"/>
    </row>
    <row r="27" spans="2:15" x14ac:dyDescent="0.3">
      <c r="B27" s="4"/>
      <c r="C27" s="4"/>
      <c r="D27" s="4"/>
      <c r="E27" s="4"/>
      <c r="F27" s="4"/>
      <c r="G27" s="4"/>
      <c r="H27" s="4"/>
      <c r="I27" s="4"/>
      <c r="J27" s="4"/>
      <c r="K27" s="4"/>
      <c r="L27" s="4"/>
      <c r="M27" s="4"/>
      <c r="N27" s="4"/>
      <c r="O27" s="4"/>
    </row>
    <row r="28" spans="2:15" x14ac:dyDescent="0.3">
      <c r="B28" s="4"/>
      <c r="C28" s="4"/>
      <c r="D28" s="6" t="s">
        <v>3</v>
      </c>
      <c r="E28" s="6" t="s">
        <v>4</v>
      </c>
      <c r="F28" s="6" t="s">
        <v>25</v>
      </c>
      <c r="G28" s="6" t="s">
        <v>5</v>
      </c>
      <c r="H28" s="6" t="s">
        <v>6</v>
      </c>
      <c r="I28" s="7"/>
      <c r="J28" s="7"/>
      <c r="L28" s="4"/>
      <c r="N28" s="4"/>
      <c r="O28" s="4"/>
    </row>
    <row r="29" spans="2:15" x14ac:dyDescent="0.3">
      <c r="B29" s="7" t="s">
        <v>26</v>
      </c>
      <c r="C29" s="7" t="s">
        <v>8</v>
      </c>
      <c r="D29" s="8">
        <v>2</v>
      </c>
      <c r="E29" s="8">
        <v>1</v>
      </c>
      <c r="F29" s="8">
        <v>2</v>
      </c>
      <c r="G29" s="8">
        <v>1</v>
      </c>
      <c r="H29" s="8">
        <v>0</v>
      </c>
      <c r="I29" s="9"/>
      <c r="J29" s="7" t="s">
        <v>9</v>
      </c>
      <c r="K29" s="10">
        <v>60</v>
      </c>
      <c r="L29" s="7"/>
      <c r="M29" s="4"/>
      <c r="N29" s="4"/>
      <c r="O29" s="4"/>
    </row>
    <row r="30" spans="2:15" x14ac:dyDescent="0.3">
      <c r="B30" s="4"/>
      <c r="C30" s="4"/>
      <c r="D30" s="8">
        <v>7</v>
      </c>
      <c r="E30" s="8">
        <v>8</v>
      </c>
      <c r="F30" s="8">
        <v>9</v>
      </c>
      <c r="G30" s="8">
        <v>0</v>
      </c>
      <c r="H30" s="8">
        <v>1</v>
      </c>
      <c r="I30" s="9"/>
      <c r="J30" s="4"/>
      <c r="K30" s="8">
        <v>280</v>
      </c>
      <c r="L30" s="4"/>
      <c r="M30" s="9"/>
      <c r="N30" s="4"/>
    </row>
    <row r="31" spans="2:15" x14ac:dyDescent="0.3">
      <c r="B31" s="4"/>
      <c r="C31" s="4"/>
      <c r="D31" s="4"/>
      <c r="E31" s="4"/>
      <c r="F31" s="4"/>
      <c r="G31" s="4"/>
      <c r="H31" s="4"/>
      <c r="I31" s="4"/>
      <c r="J31" s="4"/>
      <c r="K31" s="4"/>
      <c r="L31" s="4"/>
      <c r="M31" s="4"/>
      <c r="N31" s="4"/>
    </row>
    <row r="32" spans="2:15" x14ac:dyDescent="0.3">
      <c r="B32" s="4"/>
      <c r="C32" s="7" t="s">
        <v>10</v>
      </c>
      <c r="D32" s="10">
        <v>120</v>
      </c>
      <c r="E32" s="10">
        <v>80</v>
      </c>
      <c r="F32" s="10">
        <v>110</v>
      </c>
      <c r="G32" s="10">
        <v>0</v>
      </c>
      <c r="H32" s="10">
        <v>0</v>
      </c>
      <c r="I32" s="4"/>
      <c r="J32" s="4"/>
      <c r="L32" s="4"/>
      <c r="M32" s="4"/>
      <c r="N32" s="4"/>
    </row>
    <row r="33" spans="2:14" x14ac:dyDescent="0.3">
      <c r="B33" s="4"/>
      <c r="C33" s="7" t="s">
        <v>11</v>
      </c>
      <c r="D33" s="10">
        <v>0</v>
      </c>
      <c r="E33" s="10">
        <v>0</v>
      </c>
      <c r="F33" s="4"/>
      <c r="G33" s="4"/>
      <c r="H33" s="4"/>
      <c r="I33" s="4"/>
      <c r="K33" s="4"/>
      <c r="L33" s="4"/>
      <c r="N33" s="4"/>
    </row>
    <row r="34" spans="2:14" x14ac:dyDescent="0.3">
      <c r="B34" s="4"/>
      <c r="C34" s="7" t="s">
        <v>12</v>
      </c>
      <c r="D34" s="10">
        <v>120</v>
      </c>
      <c r="E34" s="10">
        <v>80</v>
      </c>
      <c r="F34" s="10">
        <v>110</v>
      </c>
      <c r="G34" s="4"/>
      <c r="H34" s="4"/>
      <c r="I34" s="4"/>
      <c r="J34" s="4"/>
      <c r="K34" s="4"/>
      <c r="L34" s="4"/>
      <c r="N34" s="4"/>
    </row>
    <row r="35" spans="2:14" x14ac:dyDescent="0.3">
      <c r="B35" s="4"/>
      <c r="J35" s="4"/>
      <c r="K35" s="4"/>
      <c r="L35" s="4"/>
      <c r="N35" s="4"/>
    </row>
    <row r="38" spans="2:14" x14ac:dyDescent="0.3">
      <c r="B38" s="4"/>
      <c r="C38" s="4"/>
      <c r="D38" s="6" t="s">
        <v>5</v>
      </c>
      <c r="E38" s="6" t="s">
        <v>6</v>
      </c>
      <c r="F38" s="7"/>
      <c r="G38" s="7"/>
      <c r="I38" s="4"/>
      <c r="J38" s="6" t="s">
        <v>3</v>
      </c>
      <c r="K38" s="6" t="s">
        <v>4</v>
      </c>
      <c r="L38" s="6" t="s">
        <v>25</v>
      </c>
      <c r="M38" s="4"/>
      <c r="N38" s="4"/>
    </row>
    <row r="39" spans="2:14" x14ac:dyDescent="0.3">
      <c r="B39" s="4"/>
      <c r="C39" s="7" t="s">
        <v>27</v>
      </c>
      <c r="D39" s="8">
        <v>1</v>
      </c>
      <c r="E39" s="8">
        <v>0</v>
      </c>
      <c r="F39" s="9"/>
      <c r="G39" s="9"/>
      <c r="I39" s="7" t="s">
        <v>28</v>
      </c>
      <c r="J39" s="8">
        <v>2</v>
      </c>
      <c r="K39" s="8">
        <v>1</v>
      </c>
      <c r="L39" s="8">
        <v>2</v>
      </c>
      <c r="M39" s="4"/>
      <c r="N39" s="4"/>
    </row>
    <row r="40" spans="2:14" x14ac:dyDescent="0.3">
      <c r="B40" s="4"/>
      <c r="C40" s="4"/>
      <c r="D40" s="8">
        <v>0</v>
      </c>
      <c r="E40" s="8">
        <v>1</v>
      </c>
      <c r="F40" s="9"/>
      <c r="G40" s="9"/>
      <c r="I40" s="4"/>
      <c r="J40" s="8">
        <v>7</v>
      </c>
      <c r="K40" s="8">
        <v>8</v>
      </c>
      <c r="L40" s="8">
        <v>9</v>
      </c>
      <c r="M40" s="4"/>
      <c r="N40" s="4"/>
    </row>
    <row r="41" spans="2:14" x14ac:dyDescent="0.3">
      <c r="B41" s="4"/>
      <c r="C41" s="4"/>
      <c r="D41" s="4"/>
      <c r="E41" s="4"/>
      <c r="F41" s="4"/>
      <c r="G41" s="4"/>
      <c r="I41" s="4"/>
      <c r="J41" s="4"/>
      <c r="K41" s="4"/>
      <c r="L41" s="4"/>
      <c r="M41" s="4"/>
      <c r="N41" s="4"/>
    </row>
    <row r="42" spans="2:14" x14ac:dyDescent="0.3">
      <c r="B42" s="4"/>
      <c r="C42" s="4"/>
      <c r="D42" s="4"/>
      <c r="E42" s="4"/>
      <c r="F42" s="4"/>
      <c r="G42" s="4"/>
      <c r="H42" s="4"/>
      <c r="I42" s="4"/>
      <c r="J42" s="4"/>
      <c r="K42" s="4"/>
      <c r="L42" s="4"/>
      <c r="M42" s="4"/>
      <c r="N42" s="4"/>
    </row>
    <row r="44" spans="2:14" x14ac:dyDescent="0.3">
      <c r="B44" s="4"/>
      <c r="C44" s="7" t="s">
        <v>29</v>
      </c>
      <c r="D44" s="10" cm="1">
        <f t="array" ref="D44:E45">MINVERSE(D39:E40)</f>
        <v>1</v>
      </c>
      <c r="E44" s="10">
        <v>0</v>
      </c>
      <c r="F44" s="4"/>
      <c r="G44" s="4"/>
      <c r="I44" s="7" t="s">
        <v>30</v>
      </c>
      <c r="J44" s="10" cm="1">
        <f t="array" ref="J44:J45">MMULT(_xlfn.ANCHORARRAY(D44),K29:K30)</f>
        <v>60</v>
      </c>
      <c r="K44" s="4"/>
      <c r="L44" s="4"/>
      <c r="M44" s="4"/>
      <c r="N44" s="4"/>
    </row>
    <row r="45" spans="2:14" x14ac:dyDescent="0.3">
      <c r="B45" s="4"/>
      <c r="C45" s="4"/>
      <c r="D45" s="10">
        <v>0</v>
      </c>
      <c r="E45" s="10">
        <v>1</v>
      </c>
      <c r="F45" s="4"/>
      <c r="G45" s="4"/>
      <c r="I45" s="4"/>
      <c r="J45" s="10">
        <v>280</v>
      </c>
      <c r="K45" s="4"/>
      <c r="L45" s="4"/>
      <c r="M45" s="4"/>
      <c r="N45" s="4"/>
    </row>
    <row r="46" spans="2:14" x14ac:dyDescent="0.3">
      <c r="B46" s="4"/>
      <c r="C46" s="4"/>
      <c r="D46" s="4"/>
      <c r="E46" s="4"/>
      <c r="F46" s="4"/>
      <c r="G46" s="4"/>
      <c r="I46" s="4"/>
      <c r="J46" s="4"/>
      <c r="K46" s="4"/>
      <c r="L46" s="4"/>
      <c r="M46" s="4"/>
      <c r="N46" s="4"/>
    </row>
    <row r="47" spans="2:14" x14ac:dyDescent="0.3">
      <c r="B47" s="4"/>
      <c r="C47" s="4"/>
      <c r="D47" s="4"/>
      <c r="E47" s="4"/>
      <c r="F47" s="4"/>
      <c r="G47" s="4"/>
      <c r="I47" s="4"/>
      <c r="J47" s="4"/>
      <c r="K47" s="4"/>
      <c r="L47" s="4"/>
      <c r="M47" s="4"/>
      <c r="N47" s="4"/>
    </row>
    <row r="49" spans="2:14" x14ac:dyDescent="0.3">
      <c r="B49" s="4"/>
      <c r="C49" s="7" t="s">
        <v>31</v>
      </c>
      <c r="D49" s="10" cm="1">
        <f t="array" ref="D49:F50">MMULT(_xlfn.ANCHORARRAY(D44),J39:L40)</f>
        <v>2</v>
      </c>
      <c r="E49" s="10">
        <v>1</v>
      </c>
      <c r="F49" s="10">
        <v>2</v>
      </c>
      <c r="G49" s="4"/>
      <c r="H49" s="4"/>
      <c r="I49" s="4"/>
      <c r="J49" s="4"/>
      <c r="K49" s="4"/>
      <c r="L49" s="4"/>
      <c r="M49" s="4"/>
      <c r="N49" s="4"/>
    </row>
    <row r="50" spans="2:14" x14ac:dyDescent="0.3">
      <c r="B50" s="4"/>
      <c r="C50" s="4"/>
      <c r="D50" s="10">
        <v>7</v>
      </c>
      <c r="E50" s="10">
        <v>8</v>
      </c>
      <c r="F50" s="10">
        <v>9</v>
      </c>
      <c r="G50" s="4"/>
      <c r="H50" s="4"/>
      <c r="I50" s="4"/>
      <c r="J50" s="4"/>
      <c r="K50" s="4"/>
      <c r="L50" s="4"/>
      <c r="M50" s="4"/>
      <c r="N50" s="4"/>
    </row>
    <row r="51" spans="2:14" x14ac:dyDescent="0.3">
      <c r="B51" s="4"/>
      <c r="C51" s="4"/>
      <c r="D51" s="4"/>
      <c r="E51" s="4"/>
      <c r="F51" s="4"/>
      <c r="G51" s="4"/>
      <c r="H51" s="4"/>
      <c r="I51" s="4"/>
      <c r="J51" s="4"/>
      <c r="K51" s="4"/>
      <c r="L51" s="4"/>
      <c r="M51" s="4"/>
      <c r="N51" s="4"/>
    </row>
    <row r="52" spans="2:14" x14ac:dyDescent="0.3">
      <c r="B52" s="4"/>
      <c r="C52" s="4"/>
      <c r="D52" s="4"/>
      <c r="E52" s="4"/>
      <c r="F52" s="4"/>
      <c r="G52" s="4"/>
      <c r="H52" s="4"/>
      <c r="I52" s="4"/>
      <c r="J52" s="4"/>
      <c r="K52" s="4"/>
      <c r="L52" s="4"/>
      <c r="M52" s="4"/>
      <c r="N52" s="4"/>
    </row>
    <row r="54" spans="2:14" x14ac:dyDescent="0.3">
      <c r="B54" s="4"/>
      <c r="C54" s="7" t="s">
        <v>32</v>
      </c>
      <c r="D54" s="4" cm="1">
        <f t="array" ref="D54:F54">MMULT(D33:E33,_xlfn.ANCHORARRAY(D49))</f>
        <v>0</v>
      </c>
      <c r="E54" s="4">
        <v>0</v>
      </c>
      <c r="F54" s="4">
        <v>0</v>
      </c>
      <c r="G54" s="4"/>
      <c r="H54" s="4"/>
      <c r="I54" s="4"/>
      <c r="J54" s="4"/>
      <c r="K54" s="4"/>
      <c r="L54" s="4"/>
      <c r="M54" s="4"/>
      <c r="N54" s="4"/>
    </row>
    <row r="55" spans="2:14" x14ac:dyDescent="0.3">
      <c r="B55" s="4"/>
      <c r="C55" s="7" t="s">
        <v>33</v>
      </c>
      <c r="D55" s="17">
        <f>D54-D34</f>
        <v>-120</v>
      </c>
      <c r="E55" s="10">
        <f t="shared" ref="E55:F55" si="0">E54-E34</f>
        <v>-80</v>
      </c>
      <c r="F55" s="10">
        <f t="shared" si="0"/>
        <v>-110</v>
      </c>
      <c r="H55" s="4" t="s">
        <v>36</v>
      </c>
      <c r="I55" s="4"/>
      <c r="J55" s="4"/>
      <c r="K55" s="4"/>
      <c r="L55" s="4"/>
      <c r="M55" s="4"/>
      <c r="N55" s="4"/>
    </row>
    <row r="56" spans="2:14" x14ac:dyDescent="0.3">
      <c r="B56" s="4"/>
      <c r="C56" s="4"/>
      <c r="D56" s="4"/>
      <c r="E56" s="4"/>
      <c r="F56" s="4"/>
      <c r="G56" s="4"/>
      <c r="H56" s="4"/>
      <c r="I56" s="4"/>
      <c r="J56" s="4"/>
      <c r="K56" s="4"/>
      <c r="L56" s="4"/>
      <c r="M56" s="4"/>
      <c r="N56" s="4"/>
    </row>
    <row r="57" spans="2:14" x14ac:dyDescent="0.3">
      <c r="B57" s="4"/>
      <c r="C57" s="4"/>
      <c r="D57" s="4"/>
      <c r="E57" s="4"/>
      <c r="F57" s="4"/>
      <c r="G57" s="4"/>
      <c r="H57" s="4"/>
      <c r="I57" s="4"/>
      <c r="J57" s="4"/>
      <c r="K57" s="4"/>
      <c r="L57" s="4"/>
      <c r="M57" s="4"/>
      <c r="N57" s="4"/>
    </row>
    <row r="58" spans="2:14" x14ac:dyDescent="0.3">
      <c r="B58" s="4"/>
      <c r="C58" s="7" t="s">
        <v>34</v>
      </c>
      <c r="D58" s="16" cm="1">
        <f t="array" ref="D58:D59">_xlfn.ANCHORARRAY(J44)/D49:D50</f>
        <v>30</v>
      </c>
      <c r="E58" s="4"/>
      <c r="F58" s="4"/>
      <c r="G58" s="4"/>
      <c r="H58" s="4"/>
      <c r="I58" s="4"/>
      <c r="J58" s="4"/>
      <c r="K58" s="4"/>
      <c r="L58" s="4"/>
      <c r="M58" s="4"/>
      <c r="N58" s="4"/>
    </row>
    <row r="59" spans="2:14" x14ac:dyDescent="0.3">
      <c r="B59" s="4"/>
      <c r="C59" s="4"/>
      <c r="D59" s="8">
        <v>40</v>
      </c>
      <c r="E59" s="4"/>
      <c r="F59" s="4"/>
      <c r="H59" s="4" t="s">
        <v>35</v>
      </c>
      <c r="I59" s="4"/>
      <c r="J59" s="4"/>
      <c r="K59" s="4"/>
      <c r="L59" s="4"/>
      <c r="M59" s="4"/>
      <c r="N59" s="4"/>
    </row>
    <row r="61" spans="2:14" ht="15" thickBot="1" x14ac:dyDescent="0.35">
      <c r="B61" s="15"/>
      <c r="C61" s="15"/>
      <c r="D61" s="15"/>
      <c r="E61" s="15"/>
      <c r="F61" s="15"/>
      <c r="G61" s="15"/>
      <c r="H61" s="15"/>
      <c r="I61" s="15"/>
      <c r="J61" s="15"/>
      <c r="K61" s="15"/>
      <c r="L61" s="15"/>
      <c r="M61" s="15"/>
      <c r="N61" s="15"/>
    </row>
    <row r="62" spans="2:14" x14ac:dyDescent="0.3">
      <c r="B62" s="4"/>
      <c r="C62" s="4"/>
      <c r="D62" s="4"/>
      <c r="E62" s="4"/>
      <c r="F62" s="4"/>
      <c r="G62" s="4"/>
      <c r="H62" s="4"/>
      <c r="I62" s="4"/>
      <c r="J62" s="4"/>
      <c r="K62" s="4"/>
      <c r="L62" s="4"/>
      <c r="M62" s="4"/>
      <c r="N62" s="4"/>
    </row>
    <row r="63" spans="2:14" x14ac:dyDescent="0.3">
      <c r="B63" s="4"/>
      <c r="C63" s="4"/>
      <c r="D63" s="6" t="s">
        <v>5</v>
      </c>
      <c r="E63" s="6" t="s">
        <v>4</v>
      </c>
      <c r="F63" s="6" t="s">
        <v>25</v>
      </c>
      <c r="G63" s="6" t="s">
        <v>3</v>
      </c>
      <c r="H63" s="6" t="s">
        <v>6</v>
      </c>
      <c r="I63" s="7"/>
      <c r="J63" s="7"/>
      <c r="L63" s="4"/>
      <c r="N63" s="4"/>
    </row>
    <row r="64" spans="2:14" x14ac:dyDescent="0.3">
      <c r="B64" s="7" t="s">
        <v>37</v>
      </c>
      <c r="C64" s="7" t="s">
        <v>8</v>
      </c>
      <c r="D64" s="8">
        <v>1</v>
      </c>
      <c r="E64" s="8">
        <v>1</v>
      </c>
      <c r="F64" s="8">
        <v>2</v>
      </c>
      <c r="G64" s="8">
        <v>2</v>
      </c>
      <c r="H64" s="8">
        <v>0</v>
      </c>
      <c r="I64" s="9"/>
      <c r="J64" s="7" t="s">
        <v>9</v>
      </c>
      <c r="K64" s="10">
        <v>60</v>
      </c>
      <c r="L64" s="7"/>
      <c r="M64" s="4"/>
      <c r="N64" s="4"/>
    </row>
    <row r="65" spans="2:14" x14ac:dyDescent="0.3">
      <c r="B65" s="4"/>
      <c r="C65" s="4"/>
      <c r="D65" s="8">
        <v>0</v>
      </c>
      <c r="E65" s="8">
        <v>8</v>
      </c>
      <c r="F65" s="8">
        <v>9</v>
      </c>
      <c r="G65" s="8">
        <v>7</v>
      </c>
      <c r="H65" s="8">
        <v>1</v>
      </c>
      <c r="I65" s="9"/>
      <c r="J65" s="4"/>
      <c r="K65" s="8">
        <v>280</v>
      </c>
      <c r="L65" s="4"/>
      <c r="M65" s="9"/>
      <c r="N65" s="4"/>
    </row>
    <row r="66" spans="2:14" x14ac:dyDescent="0.3">
      <c r="B66" s="4"/>
      <c r="C66" s="4"/>
      <c r="D66" s="4"/>
      <c r="E66" s="4"/>
      <c r="F66" s="4"/>
      <c r="G66" s="4"/>
      <c r="H66" s="4"/>
      <c r="I66" s="4"/>
      <c r="J66" s="4"/>
      <c r="K66" s="4"/>
      <c r="L66" s="4"/>
      <c r="M66" s="4"/>
      <c r="N66" s="4"/>
    </row>
    <row r="67" spans="2:14" x14ac:dyDescent="0.3">
      <c r="B67" s="4"/>
      <c r="C67" s="7" t="s">
        <v>10</v>
      </c>
      <c r="D67" s="10">
        <v>0</v>
      </c>
      <c r="E67" s="10">
        <v>80</v>
      </c>
      <c r="F67" s="10">
        <v>110</v>
      </c>
      <c r="G67" s="10">
        <v>120</v>
      </c>
      <c r="H67" s="10">
        <v>0</v>
      </c>
      <c r="I67" s="4"/>
      <c r="J67" s="4"/>
      <c r="L67" s="4"/>
      <c r="M67" s="4"/>
      <c r="N67" s="4"/>
    </row>
    <row r="68" spans="2:14" x14ac:dyDescent="0.3">
      <c r="B68" s="4"/>
      <c r="C68" s="7" t="s">
        <v>11</v>
      </c>
      <c r="D68" s="10">
        <v>120</v>
      </c>
      <c r="E68" s="10">
        <v>0</v>
      </c>
      <c r="F68" s="4"/>
      <c r="G68" s="4"/>
      <c r="H68" s="4"/>
      <c r="I68" s="4"/>
      <c r="K68" s="4"/>
      <c r="L68" s="4"/>
      <c r="N68" s="4"/>
    </row>
    <row r="69" spans="2:14" x14ac:dyDescent="0.3">
      <c r="B69" s="4"/>
      <c r="C69" s="7" t="s">
        <v>12</v>
      </c>
      <c r="D69" s="10">
        <v>0</v>
      </c>
      <c r="E69" s="10">
        <v>80</v>
      </c>
      <c r="F69" s="10">
        <v>110</v>
      </c>
      <c r="G69" s="4"/>
      <c r="H69" s="4"/>
      <c r="I69" s="4"/>
      <c r="J69" s="4"/>
      <c r="K69" s="4"/>
      <c r="L69" s="4"/>
      <c r="N69" s="4"/>
    </row>
    <row r="70" spans="2:14" x14ac:dyDescent="0.3">
      <c r="B70" s="4"/>
      <c r="J70" s="4"/>
      <c r="K70" s="4"/>
      <c r="L70" s="4"/>
      <c r="N70" s="4"/>
    </row>
    <row r="73" spans="2:14" x14ac:dyDescent="0.3">
      <c r="B73" s="4"/>
      <c r="C73" s="4"/>
      <c r="D73" s="6" t="s">
        <v>3</v>
      </c>
      <c r="E73" s="6" t="s">
        <v>6</v>
      </c>
      <c r="F73" s="7"/>
      <c r="G73" s="7"/>
      <c r="I73" s="4"/>
      <c r="J73" s="6" t="s">
        <v>5</v>
      </c>
      <c r="K73" s="6" t="s">
        <v>4</v>
      </c>
      <c r="L73" s="6" t="s">
        <v>25</v>
      </c>
      <c r="M73" s="4"/>
      <c r="N73" s="4"/>
    </row>
    <row r="74" spans="2:14" x14ac:dyDescent="0.3">
      <c r="B74" s="4"/>
      <c r="C74" s="7" t="s">
        <v>27</v>
      </c>
      <c r="D74" s="8">
        <v>2</v>
      </c>
      <c r="E74" s="8">
        <v>0</v>
      </c>
      <c r="F74" s="9"/>
      <c r="G74" s="9"/>
      <c r="I74" s="7" t="s">
        <v>28</v>
      </c>
      <c r="J74" s="8">
        <v>1</v>
      </c>
      <c r="K74" s="8">
        <v>1</v>
      </c>
      <c r="L74" s="8">
        <v>2</v>
      </c>
      <c r="M74" s="4"/>
      <c r="N74" s="4"/>
    </row>
    <row r="75" spans="2:14" x14ac:dyDescent="0.3">
      <c r="B75" s="4"/>
      <c r="C75" s="4"/>
      <c r="D75" s="8">
        <v>7</v>
      </c>
      <c r="E75" s="8">
        <v>1</v>
      </c>
      <c r="F75" s="9"/>
      <c r="G75" s="9"/>
      <c r="I75" s="4"/>
      <c r="J75" s="8">
        <v>0</v>
      </c>
      <c r="K75" s="8">
        <v>8</v>
      </c>
      <c r="L75" s="8">
        <v>9</v>
      </c>
      <c r="M75" s="4"/>
      <c r="N75" s="4"/>
    </row>
    <row r="76" spans="2:14" x14ac:dyDescent="0.3">
      <c r="B76" s="4"/>
      <c r="C76" s="4"/>
      <c r="D76" s="4"/>
      <c r="E76" s="4"/>
      <c r="F76" s="4"/>
      <c r="G76" s="4"/>
      <c r="I76" s="4"/>
      <c r="J76" s="4"/>
      <c r="K76" s="4"/>
      <c r="L76" s="4"/>
      <c r="M76" s="4"/>
      <c r="N76" s="4"/>
    </row>
    <row r="77" spans="2:14" x14ac:dyDescent="0.3">
      <c r="B77" s="4"/>
      <c r="C77" s="4"/>
      <c r="D77" s="4"/>
      <c r="E77" s="4"/>
      <c r="F77" s="4"/>
      <c r="G77" s="4"/>
      <c r="H77" s="4"/>
      <c r="I77" s="4"/>
      <c r="J77" s="4"/>
      <c r="K77" s="4"/>
      <c r="L77" s="4"/>
      <c r="M77" s="4"/>
      <c r="N77" s="4"/>
    </row>
    <row r="79" spans="2:14" x14ac:dyDescent="0.3">
      <c r="B79" s="4"/>
      <c r="C79" s="7" t="s">
        <v>29</v>
      </c>
      <c r="D79" s="10" cm="1">
        <f t="array" ref="D79:E80">MINVERSE(D74:E75)</f>
        <v>0.5</v>
      </c>
      <c r="E79" s="10">
        <v>0</v>
      </c>
      <c r="F79" s="4"/>
      <c r="G79" s="4"/>
      <c r="I79" s="7" t="s">
        <v>30</v>
      </c>
      <c r="J79" s="10" cm="1">
        <f t="array" ref="J79:J80">MMULT(_xlfn.ANCHORARRAY(D79),K64:K65)</f>
        <v>30</v>
      </c>
      <c r="K79" s="4"/>
      <c r="L79" s="4"/>
      <c r="M79" s="4"/>
      <c r="N79" s="4"/>
    </row>
    <row r="80" spans="2:14" x14ac:dyDescent="0.3">
      <c r="B80" s="4"/>
      <c r="C80" s="4"/>
      <c r="D80" s="10">
        <v>-3.5</v>
      </c>
      <c r="E80" s="10">
        <v>1</v>
      </c>
      <c r="F80" s="4"/>
      <c r="G80" s="4"/>
      <c r="I80" s="4"/>
      <c r="J80" s="10">
        <v>70</v>
      </c>
      <c r="K80" s="4"/>
      <c r="L80" s="4"/>
      <c r="M80" s="4"/>
      <c r="N80" s="4"/>
    </row>
    <row r="81" spans="2:14" x14ac:dyDescent="0.3">
      <c r="B81" s="4"/>
      <c r="C81" s="4"/>
      <c r="D81" s="4"/>
      <c r="E81" s="4"/>
      <c r="F81" s="4"/>
      <c r="G81" s="4"/>
      <c r="I81" s="4"/>
      <c r="J81" s="4"/>
      <c r="K81" s="4"/>
      <c r="L81" s="4"/>
      <c r="M81" s="4"/>
      <c r="N81" s="4"/>
    </row>
    <row r="82" spans="2:14" x14ac:dyDescent="0.3">
      <c r="B82" s="4"/>
      <c r="C82" s="4"/>
      <c r="D82" s="4"/>
      <c r="E82" s="4"/>
      <c r="F82" s="4"/>
      <c r="G82" s="4"/>
      <c r="I82" s="4"/>
      <c r="J82" s="4"/>
      <c r="K82" s="4"/>
      <c r="L82" s="4"/>
      <c r="M82" s="4"/>
      <c r="N82" s="4"/>
    </row>
    <row r="84" spans="2:14" x14ac:dyDescent="0.3">
      <c r="B84" s="4"/>
      <c r="C84" s="7" t="s">
        <v>31</v>
      </c>
      <c r="D84" s="10" cm="1">
        <f t="array" ref="D84:F85">MMULT(_xlfn.ANCHORARRAY(D79),J74:L75)</f>
        <v>0.5</v>
      </c>
      <c r="E84" s="10">
        <v>0.5</v>
      </c>
      <c r="F84" s="10">
        <v>1</v>
      </c>
      <c r="G84" s="4"/>
      <c r="H84" s="4"/>
      <c r="I84" s="4"/>
      <c r="J84" s="4"/>
      <c r="K84" s="4"/>
      <c r="L84" s="4"/>
      <c r="M84" s="4"/>
      <c r="N84" s="4"/>
    </row>
    <row r="85" spans="2:14" x14ac:dyDescent="0.3">
      <c r="B85" s="4"/>
      <c r="C85" s="4"/>
      <c r="D85" s="10">
        <v>-3.5</v>
      </c>
      <c r="E85" s="10">
        <v>4.5</v>
      </c>
      <c r="F85" s="10">
        <v>2</v>
      </c>
      <c r="G85" s="4"/>
      <c r="H85" s="4"/>
      <c r="I85" s="4"/>
      <c r="J85" s="4"/>
      <c r="K85" s="4"/>
      <c r="L85" s="4"/>
      <c r="M85" s="4"/>
      <c r="N85" s="4"/>
    </row>
    <row r="86" spans="2:14" x14ac:dyDescent="0.3">
      <c r="B86" s="4"/>
      <c r="C86" s="4"/>
      <c r="D86" s="4"/>
      <c r="E86" s="4"/>
      <c r="F86" s="4"/>
      <c r="G86" s="4"/>
      <c r="H86" s="4"/>
      <c r="I86" s="4"/>
      <c r="J86" s="4"/>
      <c r="K86" s="4"/>
      <c r="L86" s="4"/>
      <c r="M86" s="4"/>
      <c r="N86" s="4"/>
    </row>
    <row r="87" spans="2:14" x14ac:dyDescent="0.3">
      <c r="B87" s="4"/>
      <c r="C87" s="4"/>
      <c r="D87" s="4"/>
      <c r="E87" s="4"/>
      <c r="F87" s="4"/>
      <c r="G87" s="4"/>
      <c r="H87" s="4"/>
      <c r="I87" s="4"/>
      <c r="J87" s="4"/>
      <c r="K87" s="4"/>
      <c r="L87" s="4"/>
      <c r="M87" s="4"/>
      <c r="N87" s="4"/>
    </row>
    <row r="89" spans="2:14" x14ac:dyDescent="0.3">
      <c r="B89" s="4"/>
      <c r="C89" s="7" t="s">
        <v>32</v>
      </c>
      <c r="D89" s="4" cm="1">
        <f t="array" ref="D89:F89">MMULT(D68:E68,_xlfn.ANCHORARRAY(D84))</f>
        <v>60</v>
      </c>
      <c r="E89" s="4">
        <v>60</v>
      </c>
      <c r="F89" s="4">
        <v>120</v>
      </c>
      <c r="G89" s="4"/>
      <c r="H89" s="4"/>
      <c r="I89" s="4"/>
      <c r="J89" s="4"/>
      <c r="K89" s="4"/>
      <c r="L89" s="4"/>
      <c r="M89" s="4"/>
      <c r="N89" s="4"/>
    </row>
    <row r="90" spans="2:14" x14ac:dyDescent="0.3">
      <c r="B90" s="4"/>
      <c r="C90" s="7" t="s">
        <v>33</v>
      </c>
      <c r="D90" s="10">
        <f>D89-D69</f>
        <v>60</v>
      </c>
      <c r="E90" s="17">
        <f t="shared" ref="E90" si="1">E89-E69</f>
        <v>-20</v>
      </c>
      <c r="F90" s="10">
        <f t="shared" ref="F90" si="2">F89-F69</f>
        <v>10</v>
      </c>
      <c r="H90" s="4" t="s">
        <v>38</v>
      </c>
      <c r="I90" s="4"/>
      <c r="J90" s="4"/>
      <c r="K90" s="4"/>
      <c r="L90" s="4"/>
      <c r="M90" s="4"/>
      <c r="N90" s="4"/>
    </row>
    <row r="91" spans="2:14" x14ac:dyDescent="0.3">
      <c r="B91" s="4"/>
      <c r="C91" s="4"/>
      <c r="D91" s="4"/>
      <c r="E91" s="4"/>
      <c r="F91" s="4"/>
      <c r="G91" s="4"/>
      <c r="H91" s="4"/>
      <c r="I91" s="4"/>
      <c r="J91" s="4"/>
      <c r="K91" s="4"/>
      <c r="L91" s="4"/>
      <c r="M91" s="4"/>
      <c r="N91" s="4"/>
    </row>
    <row r="92" spans="2:14" x14ac:dyDescent="0.3">
      <c r="B92" s="4"/>
      <c r="C92" s="4"/>
      <c r="D92" s="4"/>
      <c r="E92" s="4"/>
      <c r="F92" s="4"/>
      <c r="G92" s="4"/>
      <c r="H92" s="4"/>
      <c r="I92" s="4"/>
      <c r="J92" s="4"/>
      <c r="K92" s="4"/>
      <c r="L92" s="4"/>
      <c r="M92" s="4"/>
      <c r="N92" s="4"/>
    </row>
    <row r="93" spans="2:14" x14ac:dyDescent="0.3">
      <c r="B93" s="4"/>
      <c r="C93" s="7" t="s">
        <v>34</v>
      </c>
      <c r="D93" s="10" cm="1">
        <f t="array" ref="D93:D94">_xlfn.ANCHORARRAY(J79)/E84:E85</f>
        <v>60</v>
      </c>
      <c r="E93" s="4"/>
      <c r="F93" s="4"/>
      <c r="G93" s="4"/>
      <c r="H93" s="4"/>
      <c r="I93" s="4"/>
      <c r="J93" s="4"/>
      <c r="K93" s="4"/>
      <c r="L93" s="4"/>
      <c r="M93" s="4"/>
      <c r="N93" s="4"/>
    </row>
    <row r="94" spans="2:14" x14ac:dyDescent="0.3">
      <c r="B94" s="4"/>
      <c r="C94" s="4"/>
      <c r="D94" s="18">
        <v>15.555555555555555</v>
      </c>
      <c r="E94" s="4"/>
      <c r="F94" s="4"/>
      <c r="H94" s="4" t="s">
        <v>39</v>
      </c>
      <c r="I94" s="4"/>
      <c r="J94" s="4"/>
      <c r="K94" s="4"/>
      <c r="L94" s="4"/>
      <c r="M94" s="4"/>
      <c r="N94" s="4"/>
    </row>
    <row r="96" spans="2:14" ht="15" thickBot="1" x14ac:dyDescent="0.35">
      <c r="B96" s="15"/>
      <c r="C96" s="15"/>
      <c r="D96" s="15"/>
      <c r="E96" s="15"/>
      <c r="F96" s="15"/>
      <c r="G96" s="15"/>
      <c r="H96" s="15"/>
      <c r="I96" s="15"/>
      <c r="J96" s="15"/>
      <c r="K96" s="15"/>
      <c r="L96" s="15"/>
      <c r="M96" s="15"/>
      <c r="N96" s="15"/>
    </row>
    <row r="97" spans="2:14" x14ac:dyDescent="0.3">
      <c r="B97" s="4"/>
      <c r="C97" s="4"/>
      <c r="D97" s="4"/>
      <c r="E97" s="4"/>
      <c r="F97" s="4"/>
      <c r="G97" s="4"/>
      <c r="H97" s="4"/>
      <c r="I97" s="4"/>
      <c r="J97" s="4"/>
      <c r="K97" s="4"/>
      <c r="L97" s="4"/>
      <c r="M97" s="4"/>
      <c r="N97" s="4"/>
    </row>
    <row r="98" spans="2:14" x14ac:dyDescent="0.3">
      <c r="B98" s="4"/>
      <c r="C98" s="4"/>
      <c r="D98" s="6" t="s">
        <v>5</v>
      </c>
      <c r="E98" s="6" t="s">
        <v>6</v>
      </c>
      <c r="F98" s="6" t="s">
        <v>25</v>
      </c>
      <c r="G98" s="6" t="s">
        <v>3</v>
      </c>
      <c r="H98" s="6" t="s">
        <v>4</v>
      </c>
      <c r="I98" s="7"/>
      <c r="J98" s="7"/>
      <c r="L98" s="4"/>
      <c r="N98" s="4"/>
    </row>
    <row r="99" spans="2:14" x14ac:dyDescent="0.3">
      <c r="B99" s="7" t="s">
        <v>40</v>
      </c>
      <c r="C99" s="7" t="s">
        <v>8</v>
      </c>
      <c r="D99" s="8">
        <v>1</v>
      </c>
      <c r="E99" s="8">
        <v>0</v>
      </c>
      <c r="F99" s="8">
        <v>2</v>
      </c>
      <c r="G99" s="8">
        <v>2</v>
      </c>
      <c r="H99" s="8">
        <v>1</v>
      </c>
      <c r="I99" s="9"/>
      <c r="J99" s="7" t="s">
        <v>9</v>
      </c>
      <c r="K99" s="10">
        <v>60</v>
      </c>
      <c r="L99" s="7"/>
      <c r="M99" s="4"/>
      <c r="N99" s="4"/>
    </row>
    <row r="100" spans="2:14" x14ac:dyDescent="0.3">
      <c r="B100" s="4"/>
      <c r="C100" s="4"/>
      <c r="D100" s="8">
        <v>0</v>
      </c>
      <c r="E100" s="8">
        <v>1</v>
      </c>
      <c r="F100" s="8">
        <v>9</v>
      </c>
      <c r="G100" s="8">
        <v>7</v>
      </c>
      <c r="H100" s="8">
        <v>8</v>
      </c>
      <c r="I100" s="9"/>
      <c r="J100" s="4"/>
      <c r="K100" s="8">
        <v>280</v>
      </c>
      <c r="L100" s="4"/>
      <c r="M100" s="9"/>
      <c r="N100" s="4"/>
    </row>
    <row r="101" spans="2:14" x14ac:dyDescent="0.3">
      <c r="B101" s="4"/>
      <c r="C101" s="4"/>
      <c r="D101" s="4"/>
      <c r="E101" s="4"/>
      <c r="F101" s="4"/>
      <c r="G101" s="4"/>
      <c r="H101" s="4"/>
      <c r="I101" s="4"/>
      <c r="J101" s="4"/>
      <c r="K101" s="4"/>
      <c r="L101" s="4"/>
      <c r="M101" s="4"/>
      <c r="N101" s="4"/>
    </row>
    <row r="102" spans="2:14" x14ac:dyDescent="0.3">
      <c r="B102" s="4"/>
      <c r="C102" s="7" t="s">
        <v>10</v>
      </c>
      <c r="D102" s="10">
        <v>0</v>
      </c>
      <c r="E102" s="10">
        <v>0</v>
      </c>
      <c r="F102" s="10">
        <v>110</v>
      </c>
      <c r="G102" s="10">
        <v>120</v>
      </c>
      <c r="H102" s="10">
        <v>80</v>
      </c>
      <c r="I102" s="4"/>
      <c r="J102" s="4"/>
      <c r="L102" s="4"/>
      <c r="M102" s="4"/>
      <c r="N102" s="4"/>
    </row>
    <row r="103" spans="2:14" x14ac:dyDescent="0.3">
      <c r="B103" s="4"/>
      <c r="C103" s="7" t="s">
        <v>11</v>
      </c>
      <c r="D103" s="10">
        <v>120</v>
      </c>
      <c r="E103" s="10">
        <v>80</v>
      </c>
      <c r="F103" s="4"/>
      <c r="G103" s="4"/>
      <c r="H103" s="4"/>
      <c r="I103" s="4"/>
      <c r="K103" s="4"/>
      <c r="L103" s="4"/>
      <c r="N103" s="4"/>
    </row>
    <row r="104" spans="2:14" x14ac:dyDescent="0.3">
      <c r="B104" s="4"/>
      <c r="C104" s="7" t="s">
        <v>12</v>
      </c>
      <c r="D104" s="10">
        <v>0</v>
      </c>
      <c r="E104" s="10">
        <v>0</v>
      </c>
      <c r="F104" s="10">
        <v>110</v>
      </c>
      <c r="G104" s="4"/>
      <c r="H104" s="4"/>
      <c r="I104" s="4"/>
      <c r="J104" s="4"/>
      <c r="K104" s="4"/>
      <c r="L104" s="4"/>
      <c r="N104" s="4"/>
    </row>
    <row r="105" spans="2:14" x14ac:dyDescent="0.3">
      <c r="B105" s="4"/>
      <c r="J105" s="4"/>
      <c r="K105" s="4"/>
      <c r="L105" s="4"/>
      <c r="N105" s="4"/>
    </row>
    <row r="108" spans="2:14" x14ac:dyDescent="0.3">
      <c r="B108" s="4"/>
      <c r="C108" s="4"/>
      <c r="D108" s="6" t="s">
        <v>3</v>
      </c>
      <c r="E108" s="6" t="s">
        <v>4</v>
      </c>
      <c r="F108" s="7"/>
      <c r="G108" s="7"/>
      <c r="I108" s="4"/>
      <c r="J108" s="6" t="s">
        <v>5</v>
      </c>
      <c r="K108" s="6" t="s">
        <v>6</v>
      </c>
      <c r="L108" s="6" t="s">
        <v>25</v>
      </c>
      <c r="M108" s="4"/>
      <c r="N108" s="4"/>
    </row>
    <row r="109" spans="2:14" x14ac:dyDescent="0.3">
      <c r="B109" s="4"/>
      <c r="C109" s="7" t="s">
        <v>27</v>
      </c>
      <c r="D109" s="8">
        <v>2</v>
      </c>
      <c r="E109" s="8">
        <v>1</v>
      </c>
      <c r="F109" s="9"/>
      <c r="G109" s="9"/>
      <c r="I109" s="7" t="s">
        <v>28</v>
      </c>
      <c r="J109" s="8">
        <v>1</v>
      </c>
      <c r="K109" s="8">
        <v>0</v>
      </c>
      <c r="L109" s="8">
        <v>2</v>
      </c>
      <c r="M109" s="4"/>
      <c r="N109" s="4"/>
    </row>
    <row r="110" spans="2:14" x14ac:dyDescent="0.3">
      <c r="B110" s="4"/>
      <c r="C110" s="4"/>
      <c r="D110" s="8">
        <v>7</v>
      </c>
      <c r="E110" s="8">
        <v>8</v>
      </c>
      <c r="F110" s="9"/>
      <c r="G110" s="9"/>
      <c r="I110" s="4"/>
      <c r="J110" s="8">
        <v>0</v>
      </c>
      <c r="K110" s="8">
        <v>1</v>
      </c>
      <c r="L110" s="8">
        <v>9</v>
      </c>
      <c r="M110" s="4"/>
      <c r="N110" s="4"/>
    </row>
    <row r="111" spans="2:14" x14ac:dyDescent="0.3">
      <c r="B111" s="4"/>
      <c r="C111" s="4"/>
      <c r="D111" s="4"/>
      <c r="E111" s="4"/>
      <c r="F111" s="4"/>
      <c r="G111" s="4"/>
      <c r="I111" s="4"/>
      <c r="J111" s="4"/>
      <c r="K111" s="4"/>
      <c r="L111" s="4"/>
      <c r="M111" s="4"/>
      <c r="N111" s="4"/>
    </row>
    <row r="112" spans="2:14" x14ac:dyDescent="0.3">
      <c r="B112" s="4"/>
      <c r="C112" s="4"/>
      <c r="D112" s="4"/>
      <c r="E112" s="4"/>
      <c r="F112" s="4"/>
      <c r="G112" s="4"/>
      <c r="H112" s="4"/>
      <c r="I112" s="4"/>
      <c r="J112" s="4"/>
      <c r="K112" s="4"/>
      <c r="L112" s="4"/>
      <c r="M112" s="4"/>
      <c r="N112" s="4"/>
    </row>
    <row r="114" spans="2:14" x14ac:dyDescent="0.3">
      <c r="B114" s="4"/>
      <c r="C114" s="7" t="s">
        <v>29</v>
      </c>
      <c r="D114" s="10" cm="1">
        <f t="array" ref="D114:E115">MINVERSE(D109:E110)</f>
        <v>0.88888888888888906</v>
      </c>
      <c r="E114" s="10">
        <v>-0.11111111111111113</v>
      </c>
      <c r="F114" s="4"/>
      <c r="G114" s="4"/>
      <c r="I114" s="7" t="s">
        <v>30</v>
      </c>
      <c r="J114" s="10" cm="1">
        <f t="array" ref="J114:J115">MMULT(_xlfn.ANCHORARRAY(D114),K99:K100)</f>
        <v>22.222222222222225</v>
      </c>
      <c r="K114" s="4"/>
      <c r="L114" s="4"/>
      <c r="M114" s="4"/>
      <c r="N114" s="4"/>
    </row>
    <row r="115" spans="2:14" x14ac:dyDescent="0.3">
      <c r="B115" s="4"/>
      <c r="C115" s="4"/>
      <c r="D115" s="10">
        <v>-0.7777777777777779</v>
      </c>
      <c r="E115" s="10">
        <v>0.22222222222222224</v>
      </c>
      <c r="F115" s="4"/>
      <c r="G115" s="4"/>
      <c r="I115" s="4"/>
      <c r="J115" s="10">
        <v>15.555555555555557</v>
      </c>
      <c r="K115" s="4"/>
      <c r="L115" s="4"/>
      <c r="M115" s="4"/>
      <c r="N115" s="4"/>
    </row>
    <row r="116" spans="2:14" x14ac:dyDescent="0.3">
      <c r="B116" s="4"/>
      <c r="C116" s="4"/>
      <c r="D116" s="4"/>
      <c r="E116" s="4"/>
      <c r="F116" s="4"/>
      <c r="G116" s="4"/>
      <c r="I116" s="4"/>
      <c r="J116" s="4"/>
      <c r="K116" s="4"/>
      <c r="L116" s="4"/>
      <c r="M116" s="4"/>
      <c r="N116" s="4"/>
    </row>
    <row r="117" spans="2:14" x14ac:dyDescent="0.3">
      <c r="B117" s="4"/>
      <c r="C117" s="4"/>
      <c r="D117" s="4"/>
      <c r="E117" s="4"/>
      <c r="F117" s="4"/>
      <c r="G117" s="4"/>
      <c r="I117" s="4"/>
      <c r="J117" s="4"/>
      <c r="K117" s="4"/>
      <c r="L117" s="4"/>
      <c r="M117" s="4"/>
      <c r="N117" s="4"/>
    </row>
    <row r="119" spans="2:14" x14ac:dyDescent="0.3">
      <c r="B119" s="4"/>
      <c r="C119" s="7" t="s">
        <v>31</v>
      </c>
      <c r="D119" s="10" cm="1">
        <f t="array" ref="D119:F120">MMULT(_xlfn.ANCHORARRAY(D114),J109:L110)</f>
        <v>0.88888888888888906</v>
      </c>
      <c r="E119" s="10">
        <v>-0.11111111111111113</v>
      </c>
      <c r="F119" s="10">
        <v>0.7777777777777779</v>
      </c>
      <c r="G119" s="4"/>
      <c r="H119" s="4"/>
      <c r="I119" s="4"/>
      <c r="J119" s="4"/>
      <c r="K119" s="4"/>
      <c r="L119" s="4"/>
      <c r="M119" s="4"/>
      <c r="N119" s="4"/>
    </row>
    <row r="120" spans="2:14" x14ac:dyDescent="0.3">
      <c r="B120" s="4"/>
      <c r="C120" s="4"/>
      <c r="D120" s="10">
        <v>-0.7777777777777779</v>
      </c>
      <c r="E120" s="10">
        <v>0.22222222222222224</v>
      </c>
      <c r="F120" s="10">
        <v>0.4444444444444442</v>
      </c>
      <c r="G120" s="4"/>
      <c r="H120" s="4"/>
      <c r="I120" s="4"/>
      <c r="J120" s="4"/>
      <c r="K120" s="4"/>
      <c r="L120" s="4"/>
      <c r="M120" s="4"/>
      <c r="N120" s="4"/>
    </row>
    <row r="121" spans="2:14" x14ac:dyDescent="0.3">
      <c r="B121" s="4"/>
      <c r="C121" s="4"/>
      <c r="D121" s="4"/>
      <c r="E121" s="4"/>
      <c r="F121" s="4"/>
      <c r="G121" s="4"/>
      <c r="H121" s="4"/>
      <c r="I121" s="4"/>
      <c r="J121" s="4"/>
      <c r="K121" s="4"/>
      <c r="L121" s="4"/>
      <c r="M121" s="4"/>
      <c r="N121" s="4"/>
    </row>
    <row r="122" spans="2:14" x14ac:dyDescent="0.3">
      <c r="B122" s="4"/>
      <c r="C122" s="4"/>
      <c r="D122" s="4"/>
      <c r="E122" s="4"/>
      <c r="F122" s="4"/>
      <c r="G122" s="4"/>
      <c r="H122" s="4"/>
      <c r="I122" s="4"/>
      <c r="J122" s="4"/>
      <c r="K122" s="4"/>
      <c r="L122" s="4"/>
      <c r="M122" s="4"/>
      <c r="N122" s="4"/>
    </row>
    <row r="124" spans="2:14" x14ac:dyDescent="0.3">
      <c r="B124" s="4"/>
      <c r="C124" s="7" t="s">
        <v>32</v>
      </c>
      <c r="D124" s="4" cm="1">
        <f t="array" ref="D124:F124">MMULT(D103:E103,_xlfn.ANCHORARRAY(D119))</f>
        <v>44.444444444444457</v>
      </c>
      <c r="E124" s="4">
        <v>4.4444444444444429</v>
      </c>
      <c r="F124" s="4">
        <v>128.88888888888889</v>
      </c>
      <c r="G124" s="4"/>
      <c r="H124" s="4"/>
      <c r="I124" s="4"/>
      <c r="J124" s="4"/>
      <c r="K124" s="4"/>
      <c r="L124" s="4"/>
      <c r="M124" s="4"/>
      <c r="N124" s="4"/>
    </row>
    <row r="125" spans="2:14" x14ac:dyDescent="0.3">
      <c r="B125" s="4"/>
      <c r="C125" s="7" t="s">
        <v>33</v>
      </c>
      <c r="D125" s="10">
        <f>D124-D104</f>
        <v>44.444444444444457</v>
      </c>
      <c r="E125" s="17">
        <f t="shared" ref="E125" si="3">E124-E104</f>
        <v>4.4444444444444429</v>
      </c>
      <c r="F125" s="10">
        <f t="shared" ref="F125" si="4">F124-F104</f>
        <v>18.888888888888886</v>
      </c>
      <c r="H125" s="4" t="s">
        <v>38</v>
      </c>
      <c r="I125" s="4"/>
      <c r="J125" s="4"/>
      <c r="K125" s="4"/>
      <c r="L125" s="4"/>
      <c r="M125" s="4"/>
      <c r="N125" s="4"/>
    </row>
    <row r="126" spans="2:14" x14ac:dyDescent="0.3">
      <c r="B126" s="4"/>
      <c r="C126" s="4"/>
      <c r="D126" s="4"/>
      <c r="E126" s="4"/>
      <c r="F126" s="4"/>
      <c r="G126" s="4"/>
      <c r="H126" s="4"/>
      <c r="I126" s="4"/>
      <c r="J126" s="4"/>
      <c r="K126" s="4"/>
      <c r="L126" s="4"/>
      <c r="M126" s="4"/>
      <c r="N126" s="4"/>
    </row>
    <row r="127" spans="2:14" x14ac:dyDescent="0.3">
      <c r="B127" s="4"/>
      <c r="C127" s="4"/>
      <c r="D127" s="4"/>
      <c r="E127" s="4"/>
      <c r="F127" s="4"/>
      <c r="G127" s="4"/>
      <c r="H127" s="4"/>
      <c r="I127" s="4"/>
      <c r="J127" s="4"/>
      <c r="K127" s="4"/>
      <c r="L127" s="4"/>
      <c r="M127" s="4"/>
      <c r="N127" s="4"/>
    </row>
    <row r="128" spans="2:14" x14ac:dyDescent="0.3">
      <c r="B128" s="4"/>
      <c r="C128" s="7" t="s">
        <v>34</v>
      </c>
      <c r="D128" s="10" cm="1">
        <f t="array" ref="D128:D129">_xlfn.ANCHORARRAY(J114)/E119:E120</f>
        <v>-200</v>
      </c>
      <c r="E128" s="4"/>
      <c r="F128" s="4"/>
      <c r="G128" s="4"/>
      <c r="H128" s="4"/>
      <c r="I128" s="4"/>
      <c r="J128" s="4"/>
      <c r="K128" s="4"/>
      <c r="L128" s="4"/>
      <c r="M128" s="4"/>
      <c r="N128" s="4"/>
    </row>
    <row r="129" spans="1:14" x14ac:dyDescent="0.3">
      <c r="B129" s="4"/>
      <c r="C129" s="4"/>
      <c r="D129" s="18">
        <v>70</v>
      </c>
      <c r="E129" s="4"/>
      <c r="F129" s="4"/>
      <c r="H129" s="4" t="s">
        <v>39</v>
      </c>
      <c r="I129" s="4"/>
      <c r="J129" s="4"/>
      <c r="K129" s="4"/>
      <c r="L129" s="4"/>
      <c r="M129" s="4"/>
      <c r="N129" s="4"/>
    </row>
    <row r="131" spans="1:14" ht="15" thickBot="1" x14ac:dyDescent="0.35">
      <c r="B131" s="15"/>
      <c r="C131" s="15"/>
      <c r="D131" s="15"/>
      <c r="E131" s="15"/>
      <c r="F131" s="15"/>
      <c r="G131" s="15"/>
      <c r="H131" s="15"/>
      <c r="I131" s="15"/>
      <c r="J131" s="15"/>
      <c r="K131" s="15"/>
      <c r="L131" s="15"/>
      <c r="M131" s="15"/>
      <c r="N131" s="15"/>
    </row>
    <row r="132" spans="1:14" x14ac:dyDescent="0.3">
      <c r="B132" s="4"/>
      <c r="C132" s="4"/>
      <c r="D132" s="4"/>
      <c r="E132" s="4"/>
      <c r="F132" s="4"/>
      <c r="G132" s="4"/>
      <c r="H132" s="4"/>
      <c r="I132" s="4"/>
      <c r="J132" s="4"/>
      <c r="K132" s="4"/>
      <c r="L132" s="4"/>
      <c r="M132" s="4"/>
      <c r="N132" s="4"/>
    </row>
    <row r="133" spans="1:14" ht="25.2" customHeight="1" x14ac:dyDescent="0.3">
      <c r="A133" t="s">
        <v>109</v>
      </c>
    </row>
    <row r="134" spans="1:14" ht="38.4" customHeight="1" x14ac:dyDescent="0.3">
      <c r="A134" s="2" t="s">
        <v>110</v>
      </c>
    </row>
    <row r="135" spans="1:14" ht="78.599999999999994" customHeight="1" x14ac:dyDescent="0.3">
      <c r="A135" s="2" t="s">
        <v>111</v>
      </c>
    </row>
    <row r="136" spans="1:14" ht="43.2" customHeight="1" x14ac:dyDescent="0.3">
      <c r="A136" s="2" t="s">
        <v>112</v>
      </c>
    </row>
    <row r="137" spans="1:14" ht="151.19999999999999" customHeight="1" x14ac:dyDescent="0.3">
      <c r="A137" s="2" t="s">
        <v>113</v>
      </c>
    </row>
  </sheetData>
  <mergeCells count="1">
    <mergeCell ref="E3:M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DC046-521E-4AF9-BAD1-BDF4A0BC9A5A}">
  <dimension ref="A1:V26"/>
  <sheetViews>
    <sheetView workbookViewId="0"/>
  </sheetViews>
  <sheetFormatPr defaultRowHeight="14.4" x14ac:dyDescent="0.3"/>
  <cols>
    <col min="1" max="1" width="34.77734375" customWidth="1"/>
    <col min="18" max="18" width="8.21875" bestFit="1" customWidth="1"/>
    <col min="19" max="19" width="19.21875" bestFit="1" customWidth="1"/>
  </cols>
  <sheetData>
    <row r="1" spans="1:22" x14ac:dyDescent="0.3">
      <c r="A1" s="1" t="s">
        <v>42</v>
      </c>
    </row>
    <row r="2" spans="1:22" ht="43.2" x14ac:dyDescent="0.3">
      <c r="A2" s="2" t="s">
        <v>75</v>
      </c>
    </row>
    <row r="3" spans="1:22" ht="100.8" x14ac:dyDescent="0.3">
      <c r="R3" s="20" t="s">
        <v>76</v>
      </c>
      <c r="S3" s="21" t="s">
        <v>77</v>
      </c>
      <c r="T3" s="22" t="s">
        <v>78</v>
      </c>
    </row>
    <row r="4" spans="1:22" x14ac:dyDescent="0.3">
      <c r="R4" s="23" t="s">
        <v>8</v>
      </c>
      <c r="S4" s="10" t="s">
        <v>79</v>
      </c>
      <c r="T4" s="24">
        <v>200</v>
      </c>
    </row>
    <row r="5" spans="1:22" x14ac:dyDescent="0.3">
      <c r="R5" s="23"/>
      <c r="S5" s="10" t="s">
        <v>80</v>
      </c>
      <c r="T5" s="24"/>
    </row>
    <row r="6" spans="1:22" x14ac:dyDescent="0.3">
      <c r="R6" s="23"/>
      <c r="S6" s="10" t="s">
        <v>81</v>
      </c>
      <c r="T6" s="24"/>
    </row>
    <row r="7" spans="1:22" x14ac:dyDescent="0.3">
      <c r="R7" s="23"/>
      <c r="S7" s="10" t="s">
        <v>82</v>
      </c>
      <c r="T7" s="24"/>
    </row>
    <row r="8" spans="1:22" x14ac:dyDescent="0.3">
      <c r="R8" s="23" t="s">
        <v>27</v>
      </c>
      <c r="S8" s="10" t="s">
        <v>83</v>
      </c>
      <c r="T8" s="24">
        <v>300</v>
      </c>
    </row>
    <row r="9" spans="1:22" x14ac:dyDescent="0.3">
      <c r="R9" s="23"/>
      <c r="S9" s="10" t="s">
        <v>84</v>
      </c>
      <c r="T9" s="24"/>
    </row>
    <row r="10" spans="1:22" x14ac:dyDescent="0.3">
      <c r="R10" s="23"/>
      <c r="S10" s="10" t="s">
        <v>85</v>
      </c>
      <c r="T10" s="24"/>
    </row>
    <row r="11" spans="1:22" x14ac:dyDescent="0.3">
      <c r="R11" s="23"/>
      <c r="S11" s="10" t="s">
        <v>86</v>
      </c>
      <c r="T11" s="24"/>
    </row>
    <row r="12" spans="1:22" ht="57.6" x14ac:dyDescent="0.3">
      <c r="A12" s="2" t="s">
        <v>87</v>
      </c>
    </row>
    <row r="13" spans="1:22" x14ac:dyDescent="0.3">
      <c r="S13" s="25" t="s">
        <v>88</v>
      </c>
      <c r="T13" s="25"/>
      <c r="U13" s="25"/>
      <c r="V13" s="25"/>
    </row>
    <row r="14" spans="1:22" x14ac:dyDescent="0.3">
      <c r="R14" s="26"/>
      <c r="S14" s="6" t="s">
        <v>89</v>
      </c>
      <c r="T14" s="6" t="s">
        <v>90</v>
      </c>
      <c r="U14" s="6" t="s">
        <v>91</v>
      </c>
      <c r="V14" s="6" t="s">
        <v>92</v>
      </c>
    </row>
    <row r="15" spans="1:22" ht="57.6" x14ac:dyDescent="0.3">
      <c r="R15" s="22" t="s">
        <v>93</v>
      </c>
      <c r="S15" s="27">
        <v>1000</v>
      </c>
      <c r="T15" s="8">
        <v>1500</v>
      </c>
      <c r="U15" s="8">
        <v>800</v>
      </c>
      <c r="V15" s="8">
        <v>2000</v>
      </c>
    </row>
    <row r="16" spans="1:22" ht="57.6" x14ac:dyDescent="0.3">
      <c r="R16" s="22" t="s">
        <v>94</v>
      </c>
      <c r="S16" s="27">
        <v>30</v>
      </c>
      <c r="T16" s="8">
        <v>40</v>
      </c>
      <c r="U16" s="8">
        <v>50</v>
      </c>
      <c r="V16" s="8">
        <v>25</v>
      </c>
    </row>
    <row r="17" spans="1:1" ht="28.8" x14ac:dyDescent="0.3">
      <c r="A17" s="2" t="s">
        <v>95</v>
      </c>
    </row>
    <row r="18" spans="1:1" x14ac:dyDescent="0.3">
      <c r="A18" t="s">
        <v>96</v>
      </c>
    </row>
    <row r="19" spans="1:1" ht="57.6" x14ac:dyDescent="0.3">
      <c r="A19" s="2" t="s">
        <v>97</v>
      </c>
    </row>
    <row r="20" spans="1:1" ht="43.2" x14ac:dyDescent="0.3">
      <c r="A20" s="2" t="s">
        <v>98</v>
      </c>
    </row>
    <row r="21" spans="1:1" ht="28.8" x14ac:dyDescent="0.3">
      <c r="A21" s="2" t="s">
        <v>99</v>
      </c>
    </row>
    <row r="22" spans="1:1" ht="28.8" x14ac:dyDescent="0.3">
      <c r="A22" s="2" t="s">
        <v>100</v>
      </c>
    </row>
    <row r="23" spans="1:1" ht="28.8" x14ac:dyDescent="0.3">
      <c r="A23" s="2" t="s">
        <v>101</v>
      </c>
    </row>
    <row r="24" spans="1:1" ht="28.8" x14ac:dyDescent="0.3">
      <c r="A24" s="2" t="s">
        <v>102</v>
      </c>
    </row>
    <row r="25" spans="1:1" ht="28.8" x14ac:dyDescent="0.3">
      <c r="A25" s="2" t="s">
        <v>103</v>
      </c>
    </row>
    <row r="26" spans="1:1" ht="57.6" x14ac:dyDescent="0.3">
      <c r="A26" s="2" t="s">
        <v>104</v>
      </c>
    </row>
  </sheetData>
  <mergeCells count="5">
    <mergeCell ref="R4:R7"/>
    <mergeCell ref="T4:T7"/>
    <mergeCell ref="R8:R11"/>
    <mergeCell ref="T8:T11"/>
    <mergeCell ref="S13:V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AF781-4AA6-4815-96AC-1B347BD7B664}">
  <dimension ref="A1:Q17"/>
  <sheetViews>
    <sheetView topLeftCell="A2" workbookViewId="0">
      <selection activeCell="D14" sqref="D14"/>
    </sheetView>
  </sheetViews>
  <sheetFormatPr defaultRowHeight="14.4" x14ac:dyDescent="0.3"/>
  <cols>
    <col min="1" max="1" width="43.6640625" customWidth="1"/>
    <col min="16" max="16" width="11.109375" customWidth="1"/>
    <col min="17" max="17" width="11.6640625" customWidth="1"/>
  </cols>
  <sheetData>
    <row r="1" spans="1:17" x14ac:dyDescent="0.3">
      <c r="A1" s="1" t="s">
        <v>43</v>
      </c>
    </row>
    <row r="2" spans="1:17" ht="86.4" x14ac:dyDescent="0.3">
      <c r="A2" s="2" t="s">
        <v>57</v>
      </c>
    </row>
    <row r="3" spans="1:17" ht="72" x14ac:dyDescent="0.3">
      <c r="O3" s="20" t="s">
        <v>58</v>
      </c>
      <c r="P3" s="21" t="s">
        <v>59</v>
      </c>
      <c r="Q3" s="21" t="s">
        <v>60</v>
      </c>
    </row>
    <row r="4" spans="1:17" x14ac:dyDescent="0.3">
      <c r="O4" s="20" t="s">
        <v>61</v>
      </c>
      <c r="P4" s="8">
        <v>200</v>
      </c>
      <c r="Q4" s="8">
        <v>10</v>
      </c>
    </row>
    <row r="5" spans="1:17" x14ac:dyDescent="0.3">
      <c r="O5" s="20" t="s">
        <v>62</v>
      </c>
      <c r="P5" s="8">
        <v>150</v>
      </c>
      <c r="Q5" s="8">
        <v>8</v>
      </c>
    </row>
    <row r="6" spans="1:17" x14ac:dyDescent="0.3">
      <c r="O6" s="20" t="s">
        <v>63</v>
      </c>
      <c r="P6" s="8">
        <v>170</v>
      </c>
      <c r="Q6" s="8">
        <v>10</v>
      </c>
    </row>
    <row r="7" spans="1:17" x14ac:dyDescent="0.3">
      <c r="O7" s="20" t="s">
        <v>64</v>
      </c>
      <c r="P7" s="8">
        <v>190</v>
      </c>
      <c r="Q7" s="8">
        <v>9</v>
      </c>
    </row>
    <row r="8" spans="1:17" x14ac:dyDescent="0.3">
      <c r="O8" s="20" t="s">
        <v>65</v>
      </c>
      <c r="P8" s="8">
        <v>210</v>
      </c>
      <c r="Q8" s="8">
        <v>8</v>
      </c>
    </row>
    <row r="9" spans="1:17" x14ac:dyDescent="0.3">
      <c r="O9" s="20" t="s">
        <v>66</v>
      </c>
      <c r="P9" s="8">
        <v>200</v>
      </c>
      <c r="Q9" s="8">
        <v>16</v>
      </c>
    </row>
    <row r="10" spans="1:17" ht="100.8" x14ac:dyDescent="0.3">
      <c r="A10" s="2" t="s">
        <v>67</v>
      </c>
    </row>
    <row r="11" spans="1:17" ht="28.8" x14ac:dyDescent="0.3">
      <c r="A11" s="2" t="s">
        <v>68</v>
      </c>
    </row>
    <row r="12" spans="1:17" ht="43.2" x14ac:dyDescent="0.3">
      <c r="A12" s="2" t="s">
        <v>69</v>
      </c>
    </row>
    <row r="13" spans="1:17" ht="28.8" x14ac:dyDescent="0.3">
      <c r="A13" s="2" t="s">
        <v>70</v>
      </c>
    </row>
    <row r="14" spans="1:17" ht="28.8" x14ac:dyDescent="0.3">
      <c r="A14" s="2" t="s">
        <v>71</v>
      </c>
    </row>
    <row r="15" spans="1:17" ht="28.8" x14ac:dyDescent="0.3">
      <c r="A15" s="2" t="s">
        <v>72</v>
      </c>
    </row>
    <row r="16" spans="1:17" ht="72" x14ac:dyDescent="0.3">
      <c r="A16" s="2" t="s">
        <v>73</v>
      </c>
    </row>
    <row r="17" spans="1:1" ht="43.2" x14ac:dyDescent="0.3">
      <c r="A17" s="2" t="s">
        <v>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943BE-6478-4EB3-B7E4-BC928E9457EB}">
  <dimension ref="A1:A14"/>
  <sheetViews>
    <sheetView workbookViewId="0">
      <selection activeCell="E7" sqref="E7"/>
    </sheetView>
  </sheetViews>
  <sheetFormatPr defaultRowHeight="14.4" x14ac:dyDescent="0.3"/>
  <cols>
    <col min="1" max="1" width="42.109375" customWidth="1"/>
  </cols>
  <sheetData>
    <row r="1" spans="1:1" x14ac:dyDescent="0.3">
      <c r="A1" s="1" t="s">
        <v>44</v>
      </c>
    </row>
    <row r="2" spans="1:1" ht="172.8" x14ac:dyDescent="0.3">
      <c r="A2" s="2" t="s">
        <v>45</v>
      </c>
    </row>
    <row r="4" spans="1:1" x14ac:dyDescent="0.3">
      <c r="A4" t="s">
        <v>46</v>
      </c>
    </row>
    <row r="5" spans="1:1" x14ac:dyDescent="0.3">
      <c r="A5" t="s">
        <v>47</v>
      </c>
    </row>
    <row r="6" spans="1:1" x14ac:dyDescent="0.3">
      <c r="A6" t="s">
        <v>48</v>
      </c>
    </row>
    <row r="7" spans="1:1" x14ac:dyDescent="0.3">
      <c r="A7" t="s">
        <v>49</v>
      </c>
    </row>
    <row r="8" spans="1:1" x14ac:dyDescent="0.3">
      <c r="A8" t="s">
        <v>50</v>
      </c>
    </row>
    <row r="9" spans="1:1" x14ac:dyDescent="0.3">
      <c r="A9" t="s">
        <v>51</v>
      </c>
    </row>
    <row r="10" spans="1:1" x14ac:dyDescent="0.3">
      <c r="A10" t="s">
        <v>52</v>
      </c>
    </row>
    <row r="11" spans="1:1" x14ac:dyDescent="0.3">
      <c r="A11" t="s">
        <v>53</v>
      </c>
    </row>
    <row r="12" spans="1:1" ht="28.8" x14ac:dyDescent="0.3">
      <c r="A12" s="2" t="s">
        <v>54</v>
      </c>
    </row>
    <row r="13" spans="1:1" ht="43.2" x14ac:dyDescent="0.3">
      <c r="A13" s="2" t="s">
        <v>55</v>
      </c>
    </row>
    <row r="14" spans="1:1" ht="43.2" x14ac:dyDescent="0.3">
      <c r="A14"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T7P1</vt:lpstr>
      <vt:lpstr>T7P2</vt:lpstr>
      <vt:lpstr>T7P3</vt:lpstr>
      <vt:lpstr>T7P4</vt:lpstr>
      <vt:lpstr>T7P5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Gomez</dc:creator>
  <cp:lastModifiedBy>William Andres Gomez Roa</cp:lastModifiedBy>
  <dcterms:created xsi:type="dcterms:W3CDTF">2015-06-05T18:17:20Z</dcterms:created>
  <dcterms:modified xsi:type="dcterms:W3CDTF">2025-08-24T20:30:39Z</dcterms:modified>
</cp:coreProperties>
</file>